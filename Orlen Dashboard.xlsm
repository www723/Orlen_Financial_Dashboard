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02" codeName="{499AFE36-ED4D-9D94-70EF-1DFAAA4259C6}"/>
  <workbookPr showInkAnnotation="0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094C2DE6520367A/Documents/"/>
    </mc:Choice>
  </mc:AlternateContent>
  <xr:revisionPtr revIDLastSave="7132" documentId="8_{5613F1F0-4603-464D-B2E8-87F6D5AEFC1E}" xr6:coauthVersionLast="47" xr6:coauthVersionMax="47" xr10:uidLastSave="{11523375-5914-4F97-A42B-A73D0BD0B4BD}"/>
  <bookViews>
    <workbookView xWindow="-120" yWindow="-120" windowWidth="29040" windowHeight="15840" xr2:uid="{7E07152E-32FD-4689-B3E2-FB133609264C}"/>
  </bookViews>
  <sheets>
    <sheet name="Orlen dashboard" sheetId="3" r:id="rId1"/>
    <sheet name="Data Validation" sheetId="25" state="hidden" r:id="rId2"/>
  </sheets>
  <externalReferences>
    <externalReference r:id="rId3"/>
    <externalReference r:id="rId4"/>
  </externalReferences>
  <definedNames>
    <definedName name="aktywa_razem">'Data Validation'!$AC$3</definedName>
    <definedName name="FromArray_1">_xlfn.ANCHORARRAY('[1]BR RPP Q S'!$A$86)</definedName>
    <definedName name="job_title">'[2]Salary Calculator'!$C$4</definedName>
    <definedName name="ocena_aktywów">'Data Validation'!$AL$7</definedName>
    <definedName name="ocena_przepływów">'Data Validation'!$AL$9</definedName>
    <definedName name="ocena_zysku">'Data Validation'!$AL$5</definedName>
    <definedName name="porownaj_wykres">'Orlen dashboard'!$K$4</definedName>
    <definedName name="porownajwykres">'Orlen dashboard'!$K$4</definedName>
    <definedName name="pp_oper">'Data Validation'!$AE$3</definedName>
    <definedName name="procenta">'Data Validation'!$AI$15</definedName>
    <definedName name="procentpp">'Data Validation'!$AI$18</definedName>
    <definedName name="procentz">'Data Validation'!$AI$12</definedName>
    <definedName name="rok">'Orlen dashboard'!$C$4</definedName>
    <definedName name="wybierz_wykres">'Orlen dashboard'!$J$4</definedName>
    <definedName name="wykresy">'Orlen dashboard'!$H$4</definedName>
    <definedName name="wykresy_p">'Orlen dashboard'!$H$4</definedName>
    <definedName name="wykresyp">'Orlen dashboard'!$H$4</definedName>
    <definedName name="year">'Orlen dashboard'!$C$4</definedName>
    <definedName name="year_dash">'Orlen dashboard'!#REF!</definedName>
    <definedName name="zysk_netto">'Data Validation'!$AA$3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28" i="25" l="1" a="1"/>
  <c r="H26" i="25"/>
  <c r="H28" i="25"/>
  <c r="H30" i="25"/>
  <c r="H32" i="25"/>
  <c r="H36" i="25"/>
  <c r="H38" i="25"/>
  <c r="H42" i="25"/>
  <c r="H43" i="25"/>
  <c r="H44" i="25"/>
  <c r="F26" i="25"/>
  <c r="F28" i="25"/>
  <c r="F30" i="25"/>
  <c r="F32" i="25"/>
  <c r="F38" i="25"/>
  <c r="F42" i="25"/>
  <c r="F43" i="25"/>
  <c r="F44" i="25"/>
  <c r="W28" i="25" a="1"/>
  <c r="G73" i="25" a="1"/>
  <c r="G73" i="25" s="1"/>
  <c r="F73" i="25" a="1"/>
  <c r="F73" i="25" s="1"/>
  <c r="E73" i="25" a="1"/>
  <c r="E73" i="25" s="1"/>
  <c r="D73" i="25" a="1"/>
  <c r="D73" i="25" s="1"/>
  <c r="C73" i="25" a="1"/>
  <c r="C73" i="25" s="1"/>
  <c r="B72" i="25" a="1"/>
  <c r="B72" i="25" s="1"/>
  <c r="H73" i="25" s="1" a="1"/>
  <c r="H73" i="25" s="1"/>
  <c r="J48" i="25"/>
  <c r="I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48" i="25"/>
  <c r="G49" i="25"/>
  <c r="G50" i="25"/>
  <c r="G51" i="25"/>
  <c r="G52" i="25"/>
  <c r="G53" i="25"/>
  <c r="G54" i="25"/>
  <c r="G55" i="25"/>
  <c r="G56" i="25"/>
  <c r="G57" i="25"/>
  <c r="G58" i="25"/>
  <c r="G59" i="25"/>
  <c r="G60" i="25"/>
  <c r="G61" i="25"/>
  <c r="G62" i="25"/>
  <c r="G63" i="25"/>
  <c r="G64" i="25"/>
  <c r="G65" i="25"/>
  <c r="G66" i="25"/>
  <c r="G67" i="25"/>
  <c r="G68" i="25"/>
  <c r="G48" i="25"/>
  <c r="D3" i="25"/>
  <c r="D4" i="25"/>
  <c r="D5" i="25"/>
  <c r="D6" i="25"/>
  <c r="D7" i="25"/>
  <c r="D8" i="25"/>
  <c r="D9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P26" i="25" a="1"/>
  <c r="P26" i="25" s="1"/>
  <c r="AE3" i="25"/>
  <c r="AC3" i="25"/>
  <c r="AA3" i="25"/>
  <c r="AL9" i="25"/>
  <c r="AL7" i="25"/>
  <c r="AJ9" i="25"/>
  <c r="AI9" i="25"/>
  <c r="AJ7" i="25"/>
  <c r="AI7" i="25"/>
  <c r="AL5" i="25"/>
  <c r="AJ5" i="25"/>
  <c r="AI5" i="25"/>
  <c r="AF25" i="25"/>
  <c r="AD25" i="25"/>
  <c r="AB25" i="25"/>
  <c r="C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M3" i="25"/>
  <c r="C24" i="25" s="1" a="1"/>
  <c r="F40" i="25" s="1"/>
  <c r="M4" i="25"/>
  <c r="M5" i="25"/>
  <c r="M6" i="25"/>
  <c r="M7" i="25"/>
  <c r="M8" i="25"/>
  <c r="M9" i="25"/>
  <c r="M10" i="25"/>
  <c r="M11" i="25"/>
  <c r="M12" i="25"/>
  <c r="M13" i="25"/>
  <c r="M14" i="25"/>
  <c r="M15" i="25"/>
  <c r="M16" i="25"/>
  <c r="M17" i="25"/>
  <c r="M18" i="25"/>
  <c r="M19" i="25"/>
  <c r="M20" i="25"/>
  <c r="M21" i="25"/>
  <c r="M22" i="25"/>
  <c r="L3" i="25"/>
  <c r="L4" i="25"/>
  <c r="L5" i="25"/>
  <c r="L6" i="25"/>
  <c r="L7" i="25"/>
  <c r="L8" i="25"/>
  <c r="L9" i="25"/>
  <c r="L10" i="25"/>
  <c r="L11" i="25"/>
  <c r="L12" i="25"/>
  <c r="L13" i="25"/>
  <c r="L14" i="25"/>
  <c r="L15" i="25"/>
  <c r="L16" i="25"/>
  <c r="L17" i="25"/>
  <c r="L18" i="25"/>
  <c r="L19" i="25"/>
  <c r="L20" i="25"/>
  <c r="L21" i="25"/>
  <c r="L22" i="25"/>
  <c r="K3" i="25"/>
  <c r="K4" i="25"/>
  <c r="K5" i="25"/>
  <c r="K6" i="25"/>
  <c r="K7" i="25"/>
  <c r="K8" i="25"/>
  <c r="K9" i="25"/>
  <c r="K10" i="25"/>
  <c r="K11" i="25"/>
  <c r="K12" i="25"/>
  <c r="K13" i="25"/>
  <c r="K14" i="25"/>
  <c r="K15" i="25"/>
  <c r="K16" i="25"/>
  <c r="K17" i="25"/>
  <c r="K18" i="25"/>
  <c r="K19" i="25"/>
  <c r="K20" i="25"/>
  <c r="K21" i="25"/>
  <c r="K22" i="25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C3" i="25"/>
  <c r="D24" i="25" s="1" a="1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P22" i="25"/>
  <c r="O22" i="25"/>
  <c r="N22" i="25"/>
  <c r="I22" i="25"/>
  <c r="H22" i="25"/>
  <c r="G22" i="25"/>
  <c r="F22" i="25"/>
  <c r="P21" i="25"/>
  <c r="O21" i="25"/>
  <c r="N21" i="25"/>
  <c r="I21" i="25"/>
  <c r="H21" i="25"/>
  <c r="G21" i="25"/>
  <c r="F21" i="25"/>
  <c r="P20" i="25"/>
  <c r="O20" i="25"/>
  <c r="N20" i="25"/>
  <c r="I20" i="25"/>
  <c r="H20" i="25"/>
  <c r="G20" i="25"/>
  <c r="F20" i="25"/>
  <c r="P19" i="25"/>
  <c r="O19" i="25"/>
  <c r="N19" i="25"/>
  <c r="I19" i="25"/>
  <c r="H19" i="25"/>
  <c r="G19" i="25"/>
  <c r="F19" i="25"/>
  <c r="P18" i="25"/>
  <c r="O18" i="25"/>
  <c r="N18" i="25"/>
  <c r="I18" i="25"/>
  <c r="H18" i="25"/>
  <c r="G18" i="25"/>
  <c r="F18" i="25"/>
  <c r="P17" i="25"/>
  <c r="O17" i="25"/>
  <c r="N17" i="25"/>
  <c r="I17" i="25"/>
  <c r="H17" i="25"/>
  <c r="G17" i="25"/>
  <c r="F17" i="25"/>
  <c r="P16" i="25"/>
  <c r="O16" i="25"/>
  <c r="N16" i="25"/>
  <c r="I16" i="25"/>
  <c r="H16" i="25"/>
  <c r="G16" i="25"/>
  <c r="F16" i="25"/>
  <c r="P15" i="25"/>
  <c r="O15" i="25"/>
  <c r="N15" i="25"/>
  <c r="I15" i="25"/>
  <c r="H15" i="25"/>
  <c r="G15" i="25"/>
  <c r="F15" i="25"/>
  <c r="P14" i="25"/>
  <c r="O14" i="25"/>
  <c r="N14" i="25"/>
  <c r="I14" i="25"/>
  <c r="H14" i="25"/>
  <c r="G14" i="25"/>
  <c r="F14" i="25"/>
  <c r="P13" i="25"/>
  <c r="O13" i="25"/>
  <c r="N13" i="25"/>
  <c r="I13" i="25"/>
  <c r="H13" i="25"/>
  <c r="G13" i="25"/>
  <c r="F13" i="25"/>
  <c r="P12" i="25"/>
  <c r="O12" i="25"/>
  <c r="N12" i="25"/>
  <c r="I12" i="25"/>
  <c r="H12" i="25"/>
  <c r="G12" i="25"/>
  <c r="F12" i="25"/>
  <c r="P11" i="25"/>
  <c r="O11" i="25"/>
  <c r="N11" i="25"/>
  <c r="I11" i="25"/>
  <c r="H11" i="25"/>
  <c r="G11" i="25"/>
  <c r="F11" i="25"/>
  <c r="P10" i="25"/>
  <c r="O10" i="25"/>
  <c r="N10" i="25"/>
  <c r="I10" i="25"/>
  <c r="H10" i="25"/>
  <c r="G10" i="25"/>
  <c r="F10" i="25"/>
  <c r="P9" i="25"/>
  <c r="O9" i="25"/>
  <c r="N9" i="25"/>
  <c r="I9" i="25"/>
  <c r="H9" i="25"/>
  <c r="G9" i="25"/>
  <c r="F9" i="25"/>
  <c r="P8" i="25"/>
  <c r="O8" i="25"/>
  <c r="N8" i="25"/>
  <c r="I8" i="25"/>
  <c r="H8" i="25"/>
  <c r="G8" i="25"/>
  <c r="F8" i="25"/>
  <c r="P7" i="25"/>
  <c r="O7" i="25"/>
  <c r="N7" i="25"/>
  <c r="I7" i="25"/>
  <c r="H7" i="25"/>
  <c r="G7" i="25"/>
  <c r="F7" i="25"/>
  <c r="P6" i="25"/>
  <c r="O6" i="25"/>
  <c r="N6" i="25"/>
  <c r="I6" i="25"/>
  <c r="H6" i="25"/>
  <c r="G6" i="25"/>
  <c r="F6" i="25"/>
  <c r="P5" i="25"/>
  <c r="O5" i="25"/>
  <c r="N5" i="25"/>
  <c r="I5" i="25"/>
  <c r="H5" i="25"/>
  <c r="G5" i="25"/>
  <c r="F5" i="25"/>
  <c r="P4" i="25"/>
  <c r="O4" i="25"/>
  <c r="N4" i="25"/>
  <c r="I4" i="25"/>
  <c r="H4" i="25"/>
  <c r="G4" i="25"/>
  <c r="F4" i="25"/>
  <c r="P3" i="25"/>
  <c r="O3" i="25"/>
  <c r="N3" i="25"/>
  <c r="I3" i="25"/>
  <c r="H3" i="25"/>
  <c r="G3" i="25"/>
  <c r="F3" i="25"/>
  <c r="AF7" i="25"/>
  <c r="AF8" i="25"/>
  <c r="AF9" i="25"/>
  <c r="AF10" i="25"/>
  <c r="AF11" i="25"/>
  <c r="AF12" i="25"/>
  <c r="AF13" i="25"/>
  <c r="AF14" i="25"/>
  <c r="AF15" i="25"/>
  <c r="AF16" i="25"/>
  <c r="AF17" i="25"/>
  <c r="AI18" i="25" s="1"/>
  <c r="AF18" i="25"/>
  <c r="AF19" i="25"/>
  <c r="AF20" i="25"/>
  <c r="AF21" i="25"/>
  <c r="AF22" i="25"/>
  <c r="AF23" i="25"/>
  <c r="AF24" i="25"/>
  <c r="AF6" i="25"/>
  <c r="AD7" i="25"/>
  <c r="AD8" i="25"/>
  <c r="AD9" i="25"/>
  <c r="AD10" i="25"/>
  <c r="AD11" i="25"/>
  <c r="AD12" i="25"/>
  <c r="AD13" i="25"/>
  <c r="AD14" i="25"/>
  <c r="AD15" i="25"/>
  <c r="AD16" i="25"/>
  <c r="AD17" i="25"/>
  <c r="AI15" i="25" s="1"/>
  <c r="AD18" i="25"/>
  <c r="AD19" i="25"/>
  <c r="AD20" i="25"/>
  <c r="AD21" i="25"/>
  <c r="AD22" i="25"/>
  <c r="AD23" i="25"/>
  <c r="AD24" i="25"/>
  <c r="AD6" i="25"/>
  <c r="AB17" i="25"/>
  <c r="AI12" i="25" s="1"/>
  <c r="AB18" i="25"/>
  <c r="AB19" i="25"/>
  <c r="AB20" i="25"/>
  <c r="AB21" i="25"/>
  <c r="AB22" i="25"/>
  <c r="AB23" i="25"/>
  <c r="AB24" i="25"/>
  <c r="AB6" i="25"/>
  <c r="AB7" i="25"/>
  <c r="AB8" i="25"/>
  <c r="AB9" i="25"/>
  <c r="AB10" i="25"/>
  <c r="AB11" i="25"/>
  <c r="AB12" i="25"/>
  <c r="AB13" i="25"/>
  <c r="AB14" i="25"/>
  <c r="AB15" i="25"/>
  <c r="AB16" i="25"/>
  <c r="H29" i="25" l="1"/>
  <c r="H40" i="25"/>
  <c r="F39" i="25"/>
  <c r="F29" i="25"/>
  <c r="H31" i="25"/>
  <c r="H39" i="25"/>
  <c r="F34" i="25"/>
  <c r="F31" i="25"/>
  <c r="H33" i="25"/>
  <c r="H34" i="25"/>
  <c r="F35" i="25"/>
  <c r="F33" i="25"/>
  <c r="H41" i="25"/>
  <c r="H35" i="25"/>
  <c r="F25" i="25"/>
  <c r="F41" i="25"/>
  <c r="H45" i="25"/>
  <c r="H25" i="25"/>
  <c r="F45" i="25"/>
  <c r="F36" i="25"/>
  <c r="F37" i="25"/>
  <c r="E27" i="25"/>
  <c r="G27" i="25"/>
  <c r="H37" i="25"/>
  <c r="AA28" i="25"/>
  <c r="W28" i="25"/>
  <c r="AC45" i="25"/>
  <c r="AB29" i="25"/>
  <c r="AB44" i="25"/>
  <c r="AB39" i="25"/>
  <c r="AB36" i="25"/>
  <c r="AB31" i="25"/>
  <c r="AC48" i="25"/>
  <c r="AC44" i="25"/>
  <c r="AC40" i="25"/>
  <c r="AC39" i="25"/>
  <c r="AB37" i="25"/>
  <c r="AB30" i="25"/>
  <c r="AB35" i="25"/>
  <c r="AB40" i="25"/>
  <c r="AB45" i="25"/>
  <c r="AC32" i="25"/>
  <c r="AC37" i="25"/>
  <c r="AC43" i="25"/>
  <c r="AB33" i="25"/>
  <c r="AB34" i="25"/>
  <c r="AC31" i="25"/>
  <c r="AB43" i="25"/>
  <c r="AB48" i="25"/>
  <c r="AB46" i="25"/>
  <c r="AB41" i="25"/>
  <c r="AB32" i="25"/>
  <c r="AC47" i="25"/>
  <c r="AC42" i="25"/>
  <c r="AC38" i="25"/>
  <c r="AC35" i="25"/>
  <c r="AC33" i="25"/>
  <c r="AC29" i="25"/>
  <c r="AB38" i="25"/>
  <c r="AB47" i="25"/>
  <c r="AB42" i="25"/>
  <c r="AC30" i="25"/>
  <c r="AC34" i="25"/>
  <c r="AC36" i="25"/>
  <c r="AC41" i="25"/>
  <c r="AC46" i="25"/>
  <c r="D24" i="25"/>
  <c r="G37" i="25"/>
  <c r="H27" i="25"/>
  <c r="G29" i="25"/>
  <c r="G26" i="25"/>
  <c r="G32" i="25"/>
  <c r="G34" i="25"/>
  <c r="G38" i="25"/>
  <c r="G42" i="25"/>
  <c r="G25" i="25"/>
  <c r="G36" i="25"/>
  <c r="G40" i="25"/>
  <c r="G44" i="25"/>
  <c r="G28" i="25"/>
  <c r="G45" i="25"/>
  <c r="G41" i="25"/>
  <c r="G43" i="25"/>
  <c r="G39" i="25"/>
  <c r="G35" i="25"/>
  <c r="G33" i="25"/>
  <c r="G31" i="25"/>
  <c r="G30" i="25"/>
  <c r="C24" i="25"/>
  <c r="E45" i="25"/>
  <c r="E41" i="25"/>
  <c r="E29" i="25"/>
  <c r="E33" i="25"/>
  <c r="E38" i="25"/>
  <c r="E43" i="25"/>
  <c r="E32" i="25"/>
  <c r="E28" i="25"/>
  <c r="E34" i="25"/>
  <c r="E36" i="25"/>
  <c r="E37" i="25"/>
  <c r="E44" i="25"/>
  <c r="F27" i="25"/>
  <c r="E25" i="25"/>
  <c r="E42" i="25"/>
  <c r="E39" i="25"/>
  <c r="E35" i="25"/>
  <c r="E31" i="25"/>
  <c r="E26" i="25"/>
  <c r="E30" i="25"/>
  <c r="E40" i="25"/>
  <c r="AC28" i="25" l="1"/>
  <c r="AB28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1E4C331-C18B-42B4-815A-5015D2C7330B}" keepAlive="1" name="Query - Bilans_Orlen" description="Connection to the 'Bilans_Orlen' query in the workbook." type="5" refreshedVersion="8" background="1" saveData="1">
    <dbPr connection="Provider=Microsoft.Mashup.OleDb.1;Data Source=$Workbook$;Location=Bilans_Orlen;Extended Properties=&quot;&quot;" command="SELECT * FROM [Bilans_Orlen]"/>
  </connection>
  <connection id="2" xr16:uid="{662DF4FF-8D17-4944-BE1D-490556F86284}" keepAlive="1" name="Query - Bilnas_Orlen_Q" description="Connection to the 'Bilnas_Orlen_Q' query in the workbook." type="5" refreshedVersion="8" background="1" saveData="1">
    <dbPr connection="Provider=Microsoft.Mashup.OleDb.1;Data Source=$Workbook$;Location=Bilnas_Orlen_Q;Extended Properties=&quot;&quot;" command="SELECT * FROM [Bilnas_Orlen_Q]"/>
  </connection>
  <connection id="3" xr16:uid="{41A67333-3B29-4B13-9A32-57A6B3A4F06B}" keepAlive="1" name="Query - Rpp_Orlen" description="Connection to the 'Rpp_Orlen' query in the workbook." type="5" refreshedVersion="8" background="1" saveData="1">
    <dbPr connection="Provider=Microsoft.Mashup.OleDb.1;Data Source=$Workbook$;Location=Rpp_Orlen;Extended Properties=&quot;&quot;" command="SELECT * FROM [Rpp_Orlen]"/>
  </connection>
  <connection id="4" xr16:uid="{7D86DF88-B2E5-484C-A7E4-7B6A5B1F384F}" keepAlive="1" name="Query - Rpp_Q_O" description="Connection to the 'Rpp_Q_O' query in the workbook." type="5" refreshedVersion="8" background="1" saveData="1">
    <dbPr connection="Provider=Microsoft.Mashup.OleDb.1;Data Source=$Workbook$;Location=Rpp_Q_O;Extended Properties=&quot;&quot;" command="SELECT * FROM [Rpp_Q_O]"/>
  </connection>
  <connection id="5" xr16:uid="{EAAC3196-6BD1-481B-90C7-9A147DC0F559}" keepAlive="1" name="Query - RZiS_Orlen" description="Connection to the 'RZiS_Orlen' query in the workbook." type="5" refreshedVersion="8" background="1" saveData="1">
    <dbPr connection="Provider=Microsoft.Mashup.OleDb.1;Data Source=$Workbook$;Location=RZiS_Orlen;Extended Properties=&quot;&quot;" command="SELECT * FROM [RZiS_Orlen]"/>
  </connection>
  <connection id="6" xr16:uid="{1BDD67F0-4071-47A8-8074-4E84F54737E1}" keepAlive="1" name="Query - RZiS_Q_Skonso_O" description="Connection to the 'RZiS_Q_Skonso_O' query in the workbook." type="5" refreshedVersion="8" background="1" saveData="1">
    <dbPr connection="Provider=Microsoft.Mashup.OleDb.1;Data Source=$Workbook$;Location=RZiS_Q_Skonso_O;Extended Properties=&quot;&quot;" command="SELECT * FROM [RZiS_Q_Skonso_O]"/>
  </connection>
  <connection id="7" xr16:uid="{A6D4D055-71A4-4E5C-B400-A2A82055A06D}" keepAlive="1" name="Query - Table 3" description="Connection to the 'Table 3' query in the workbook." type="5" refreshedVersion="0" background="1" saveData="1">
    <dbPr connection="Provider=Microsoft.Mashup.OleDb.1;Data Source=$Workbook$;Location=&quot;Table 3&quot;;Extended Properties=&quot;&quot;" command="SELECT * FROM [Table 3]"/>
  </connection>
  <connection id="8" xr16:uid="{33C1B4CA-5FC3-4374-A7F5-CC45DAA740D8}" keepAlive="1" name="Query - Wskazniki kwartalne" description="Connection to the 'Wskazniki kwartalne' query in the workbook." type="5" refreshedVersion="0" background="1" saveData="1">
    <dbPr connection="Provider=Microsoft.Mashup.OleDb.1;Data Source=$Workbook$;Location=&quot;Wskazniki kwartalne&quot;;Extended Properties=&quot;&quot;" command="SELECT * FROM [Wskazniki kwartaln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<sst xmlns="http://schemas.openxmlformats.org/spreadsheetml/2006/main" count="81" uniqueCount="63">
  <si>
    <t xml:space="preserve"> </t>
  </si>
  <si>
    <t>Koszty sprzedaży</t>
  </si>
  <si>
    <t>Koszty ogólnego zarządu</t>
  </si>
  <si>
    <t>Pozostałe koszty operacyjne</t>
  </si>
  <si>
    <t>Koszty finansowe</t>
  </si>
  <si>
    <t>Zysk netto</t>
  </si>
  <si>
    <t>Aktywa obrotowe</t>
  </si>
  <si>
    <t>Aktywa razem</t>
  </si>
  <si>
    <t>Przepływy pieniężne z działalności operacyjnej</t>
  </si>
  <si>
    <t>Rok</t>
  </si>
  <si>
    <t>Zadłużenie ogólne</t>
  </si>
  <si>
    <t>Dług netto do EBITDA</t>
  </si>
  <si>
    <t>Wskaźniki płynności finansowej</t>
  </si>
  <si>
    <t>Płynności bieżącej</t>
  </si>
  <si>
    <t>Płynności szybkiej</t>
  </si>
  <si>
    <t>Płynności natychmiastowej</t>
  </si>
  <si>
    <t>Wskaźniki zadłużenia</t>
  </si>
  <si>
    <t>Marża netto</t>
  </si>
  <si>
    <t>Wskaźniki sprawności finansowej</t>
  </si>
  <si>
    <t>Rotacja należności( w dniach)</t>
  </si>
  <si>
    <t>Rotacja zobowiazań( w dniach)</t>
  </si>
  <si>
    <t>Rotacja zapasów( w dniach)</t>
  </si>
  <si>
    <t>Wskaźniki rentowności finansowej</t>
  </si>
  <si>
    <t>Pokrycie odsetek zyskiem</t>
  </si>
  <si>
    <t>ROK</t>
  </si>
  <si>
    <t>xlookup</t>
  </si>
  <si>
    <t>Odchylenie zysku netto</t>
  </si>
  <si>
    <t>Srednia zysku netto</t>
  </si>
  <si>
    <t>Odchylejnie aktywow</t>
  </si>
  <si>
    <t>Odchylenie przeplywow</t>
  </si>
  <si>
    <t>Srednia aktywow</t>
  </si>
  <si>
    <t>Srednia przeplywow</t>
  </si>
  <si>
    <t>Zmiana procentowa</t>
  </si>
  <si>
    <t>Brak danych</t>
  </si>
  <si>
    <t>Zmiana procentowa zysku netto</t>
  </si>
  <si>
    <t>Zmiana procentowa aktywów</t>
  </si>
  <si>
    <t>Zmiana procentowa  pp</t>
  </si>
  <si>
    <t>Wybierz wykres</t>
  </si>
  <si>
    <t>Zadłużenie ogólne(%)</t>
  </si>
  <si>
    <t>Zadłużenie do kapitału własnego(%)</t>
  </si>
  <si>
    <t>Marża netto(%)</t>
  </si>
  <si>
    <t>ROE (Rentowność kapitału własnego)(%)</t>
  </si>
  <si>
    <t>ROA(Rentowność aktywów)(%)</t>
  </si>
  <si>
    <t>Marża operacyjna EBIT(%)</t>
  </si>
  <si>
    <t>Wybierz wykres do porównania</t>
  </si>
  <si>
    <t>Aktywa trwale</t>
  </si>
  <si>
    <t>Zobowiązania</t>
  </si>
  <si>
    <t>Aktywa trwałe(w tys zł)</t>
  </si>
  <si>
    <t>Aktywa obrotowe(w tys zł)</t>
  </si>
  <si>
    <t>Kapitał własny</t>
  </si>
  <si>
    <t>Udziały Niekontrolujacy</t>
  </si>
  <si>
    <t>Cały kapitał wlasny</t>
  </si>
  <si>
    <t>Zob.krótko</t>
  </si>
  <si>
    <t>Zobowiązania długo</t>
  </si>
  <si>
    <t>Cały kapitał wlasny(w tys zł)</t>
  </si>
  <si>
    <t>Zobowiązania(w tys zł)</t>
  </si>
  <si>
    <t>Koszty produkcji</t>
  </si>
  <si>
    <t>WYBIERZ WYKRES</t>
  </si>
  <si>
    <t>Przełącz wykres</t>
  </si>
  <si>
    <t>Zysk/Strata Netto(w tys zł)</t>
  </si>
  <si>
    <t>Aktywa razem(w tys zł)</t>
  </si>
  <si>
    <t>Przepływy pieniężne z działalności operacyjnej(w tys zł)</t>
  </si>
  <si>
    <t>Orlen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</si>
</sst>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  <charset val="238"/>
    </font>
    <font>
      <sz val="11"/>
      <color theme="1"/>
      <name val="Arial"/>
      <family val="2"/>
      <charset val="238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26"/>
      <color theme="3"/>
      <name val="Aptos Narrow"/>
      <family val="2"/>
      <scheme val="minor"/>
    </font>
    <font>
      <b/>
      <sz val="16"/>
      <color theme="3" tint="0.24994659260841701"/>
      <name val="Aptos Narrow"/>
      <family val="2"/>
      <scheme val="minor"/>
    </font>
    <font>
      <b/>
      <sz val="16"/>
      <color rgb="FF0070C0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theme="9"/>
      </patternFill>
    </fill>
    <fill>
      <patternFill patternType="solid">
        <fgColor rgb="FFF2F2F2"/>
        <bgColor theme="0"/>
      </patternFill>
    </fill>
    <fill>
      <patternFill patternType="solid">
        <fgColor theme="0"/>
        <bgColor theme="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/>
      <bottom/>
      <diagonal/>
    </border>
    <border>
      <left/>
      <right/>
      <top/>
      <bottom style="medium">
        <color theme="3" tint="9.9948118533890809E-2"/>
      </bottom>
      <diagonal/>
    </border>
  </borders>
  <cellStyleXfs count="8">
    <xf numFmtId="0" fontId="0" fillId="0" borderId="0"/>
    <xf numFmtId="0" fontId="2" fillId="0" borderId="0"/>
    <xf numFmtId="0" fontId="2" fillId="0" borderId="0"/>
    <xf numFmtId="0" fontId="3" fillId="0" borderId="0"/>
    <xf numFmtId="43" fontId="3" fillId="0" borderId="0" applyFon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0" fillId="6" borderId="0" applyNumberFormat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 vertical="center"/>
    </xf>
    <xf numFmtId="9" fontId="0" fillId="0" borderId="0" xfId="6" applyFont="1"/>
    <xf numFmtId="2" fontId="0" fillId="0" borderId="0" xfId="0" applyNumberFormat="1"/>
    <xf numFmtId="43" fontId="0" fillId="0" borderId="0" xfId="5" applyFont="1"/>
    <xf numFmtId="0" fontId="0" fillId="2" borderId="0" xfId="0" applyFill="1"/>
    <xf numFmtId="2" fontId="0" fillId="0" borderId="0" xfId="6" applyNumberFormat="1" applyFont="1"/>
    <xf numFmtId="43" fontId="0" fillId="0" borderId="0" xfId="0" applyNumberFormat="1"/>
    <xf numFmtId="0" fontId="0" fillId="0" borderId="2" xfId="0" applyBorder="1"/>
    <xf numFmtId="0" fontId="0" fillId="4" borderId="2" xfId="0" applyFill="1" applyBorder="1"/>
    <xf numFmtId="0" fontId="6" fillId="5" borderId="3" xfId="0" applyFont="1" applyFill="1" applyBorder="1"/>
    <xf numFmtId="2" fontId="0" fillId="2" borderId="0" xfId="0" applyNumberFormat="1" applyFill="1"/>
    <xf numFmtId="10" fontId="0" fillId="2" borderId="0" xfId="0" applyNumberFormat="1" applyFill="1"/>
    <xf numFmtId="2" fontId="0" fillId="3" borderId="0" xfId="0" applyNumberFormat="1" applyFill="1"/>
    <xf numFmtId="10" fontId="0" fillId="3" borderId="0" xfId="0" applyNumberFormat="1" applyFill="1"/>
    <xf numFmtId="10" fontId="0" fillId="2" borderId="0" xfId="6" applyNumberFormat="1" applyFont="1" applyFill="1"/>
    <xf numFmtId="0" fontId="7" fillId="5" borderId="3" xfId="0" applyFont="1" applyFill="1" applyBorder="1" applyAlignment="1">
      <alignment horizontal="center" vertical="center"/>
    </xf>
    <xf numFmtId="43" fontId="0" fillId="4" borderId="3" xfId="5" applyFont="1" applyFill="1" applyBorder="1"/>
    <xf numFmtId="43" fontId="0" fillId="0" borderId="3" xfId="5" applyFont="1" applyBorder="1"/>
    <xf numFmtId="43" fontId="0" fillId="0" borderId="0" xfId="5" applyFont="1" applyAlignment="1">
      <alignment horizontal="center" vertical="center"/>
    </xf>
    <xf numFmtId="0" fontId="6" fillId="5" borderId="0" xfId="0" applyFont="1" applyFill="1"/>
    <xf numFmtId="9" fontId="0" fillId="0" borderId="3" xfId="6" applyFont="1" applyBorder="1"/>
    <xf numFmtId="10" fontId="0" fillId="0" borderId="0" xfId="5" applyNumberFormat="1" applyFont="1" applyBorder="1"/>
    <xf numFmtId="0" fontId="0" fillId="4" borderId="3" xfId="0" applyFill="1" applyBorder="1"/>
    <xf numFmtId="0" fontId="0" fillId="0" borderId="3" xfId="0" applyBorder="1"/>
    <xf numFmtId="0" fontId="1" fillId="2" borderId="4" xfId="0" applyFont="1" applyFill="1" applyBorder="1"/>
    <xf numFmtId="0" fontId="0" fillId="4" borderId="3" xfId="5" applyNumberFormat="1" applyFont="1" applyFill="1" applyBorder="1"/>
    <xf numFmtId="0" fontId="0" fillId="0" borderId="3" xfId="5" applyNumberFormat="1" applyFont="1" applyBorder="1"/>
    <xf numFmtId="0" fontId="0" fillId="4" borderId="5" xfId="0" applyFill="1" applyBorder="1"/>
    <xf numFmtId="0" fontId="8" fillId="0" borderId="0" xfId="0" applyFont="1" applyAlignment="1">
      <alignment horizontal="center" vertical="center"/>
    </xf>
    <xf numFmtId="0" fontId="11" fillId="7" borderId="0" xfId="7" applyFont="1" applyFill="1" applyAlignment="1" applyProtection="1">
      <alignment horizontal="center" vertical="center"/>
      <protection locked="0"/>
    </xf>
    <xf numFmtId="0" fontId="9" fillId="0" borderId="0" xfId="0" applyFont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8">
    <cellStyle name="Calculation" xfId="7" builtinId="22" customBuiltin="1"/>
    <cellStyle name="Comma" xfId="5" builtinId="3"/>
    <cellStyle name="Comma 2" xfId="4" xr:uid="{FF22F467-4BF7-4084-93C5-DF6896F587AB}"/>
    <cellStyle name="MAND_x000d_CHECK.COMMAND_x000e_RENAME.COMMAND_x0008_SHOW.BAR_x000b_DELETE.MENU_x000e_DELETE.COMMAND_x000e_GET.CHA" xfId="1" xr:uid="{EFF535F6-34E8-49EF-B2A5-46BD4EB06A7D}"/>
    <cellStyle name="MAND_x000d_CHECK.COMMAND_x000e_RENAME.COMMAND_x0008_SHOW.BAR_x000b_DELETE.MENU_x000e_DELETE.COMMAND_x000e_GET.CHA 2 2" xfId="2" xr:uid="{6AC0AD6C-3673-4953-A9B8-AD929116E90A}"/>
    <cellStyle name="Normal" xfId="0" builtinId="0"/>
    <cellStyle name="Normal 2" xfId="3" xr:uid="{000B314C-4A7B-45A2-9C32-457277CF39BB}"/>
    <cellStyle name="Per cent" xfId="6" builtinId="5"/>
  </cellStyles>
  <dxfs count="17"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2" formatCode="0.0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bgColor theme="9"/>
        </patternFill>
      </fill>
    </dxf>
  </dxfs>
  <tableStyles count="0" defaultTableStyle="TableStyleMedium2" defaultPivotStyle="PivotStyleLight16"/>
  <colors>
    <mruColors>
      <color rgb="FF008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rgbClr val="0070C0"/>
                </a:solidFill>
              </a:rPr>
              <a:t>Podział aktywów trwałych i  obrotowych</a:t>
            </a:r>
          </a:p>
        </c:rich>
      </c:tx>
      <c:layout>
        <c:manualLayout>
          <c:xMode val="edge"/>
          <c:yMode val="edge"/>
          <c:x val="0.13441058177080384"/>
          <c:y val="6.43795400412476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6A1-4EA4-9C3F-73868529C27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6A1-4EA4-9C3F-73868529C27A}"/>
              </c:ext>
            </c:extLst>
          </c:dPt>
          <c:dLbls>
            <c:dLbl>
              <c:idx val="0"/>
              <c:layout>
                <c:manualLayout>
                  <c:x val="-8.8927431917664501E-2"/>
                  <c:y val="6.2063091170207418E-2"/>
                </c:manualLayout>
              </c:layout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9351328386110006"/>
                      <c:h val="0.2088367255979794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6A1-4EA4-9C3F-73868529C27A}"/>
                </c:ext>
              </c:extLst>
            </c:dLbl>
            <c:dLbl>
              <c:idx val="1"/>
              <c:layout>
                <c:manualLayout>
                  <c:x val="8.4340621990596526E-2"/>
                  <c:y val="1.288226858240658E-2"/>
                </c:manualLayout>
              </c:layout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7432863158292261"/>
                      <c:h val="0.189968801069677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A1-4EA4-9C3F-73868529C27A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Validation'!$P$25:$Q$25</c:f>
              <c:strCache>
                <c:ptCount val="2"/>
                <c:pt idx="0">
                  <c:v>Aktywa trwałe(w tys zł)</c:v>
                </c:pt>
                <c:pt idx="1">
                  <c:v>Aktywa obrotowe(w tys zł)</c:v>
                </c:pt>
              </c:strCache>
            </c:strRef>
          </c:cat>
          <c:val>
            <c:numRef>
              <c:f>'Data Validation'!$P$26:$Q$26</c:f>
              <c:numCache>
                <c:formatCode>General</c:formatCode>
                <c:ptCount val="2"/>
                <c:pt idx="0">
                  <c:v>27660798</c:v>
                </c:pt>
                <c:pt idx="1">
                  <c:v>17758286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6A1-4EA4-9C3F-73868529C27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294533835444487"/>
          <c:y val="0.49273602501814934"/>
          <c:w val="0.36531553121077259"/>
          <c:h val="0.31489629753727594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GB">
                <a:solidFill>
                  <a:srgbClr val="0070C0"/>
                </a:solidFill>
              </a:rPr>
              <a:t>Podział kapitału własnego i zobowiązań</a:t>
            </a:r>
          </a:p>
        </c:rich>
      </c:tx>
      <c:layout>
        <c:manualLayout>
          <c:xMode val="edge"/>
          <c:yMode val="edge"/>
          <c:x val="0.12893896619291031"/>
          <c:y val="4.09356725146198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C7B-48A5-BD7C-A8D97F3EF31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C7B-48A5-BD7C-A8D97F3EF314}"/>
              </c:ext>
            </c:extLst>
          </c:dPt>
          <c:dLbls>
            <c:dLbl>
              <c:idx val="0"/>
              <c:layout>
                <c:manualLayout>
                  <c:x val="-8.3404695653740923E-2"/>
                  <c:y val="5.2367479639860534E-2"/>
                </c:manualLayout>
              </c:layout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5048507443684154"/>
                      <c:h val="0.2059228253300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C7B-48A5-BD7C-A8D97F3EF314}"/>
                </c:ext>
              </c:extLst>
            </c:dLbl>
            <c:dLbl>
              <c:idx val="1"/>
              <c:layout>
                <c:manualLayout>
                  <c:x val="6.9853265227694097E-2"/>
                  <c:y val="3.9569817283680475E-2"/>
                </c:manualLayout>
              </c:layout>
              <c:spPr>
                <a:pattFill prst="pct75">
                  <a:fgClr>
                    <a:schemeClr val="dk1">
                      <a:lumMod val="75000"/>
                      <a:lumOff val="25000"/>
                    </a:schemeClr>
                  </a:fgClr>
                  <a:bgClr>
                    <a:schemeClr val="dk1">
                      <a:lumMod val="65000"/>
                      <a:lumOff val="35000"/>
                    </a:schemeClr>
                  </a:bgClr>
                </a:pattFill>
                <a:ln>
                  <a:noFill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22312190107654598"/>
                      <c:h val="0.1997212719141900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C7B-48A5-BD7C-A8D97F3EF314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Validation'!$I$47:$J$47</c:f>
              <c:strCache>
                <c:ptCount val="2"/>
                <c:pt idx="0">
                  <c:v>Cały kapitał wlasny(w tys zł)</c:v>
                </c:pt>
                <c:pt idx="1">
                  <c:v>Zobowiązania(w tys zł)</c:v>
                </c:pt>
              </c:strCache>
            </c:strRef>
          </c:cat>
          <c:val>
            <c:numRef>
              <c:f>'Data Validation'!$I$48:$J$48</c:f>
              <c:numCache>
                <c:formatCode>General</c:formatCode>
                <c:ptCount val="2"/>
                <c:pt idx="0">
                  <c:v>21582563</c:v>
                </c:pt>
                <c:pt idx="1">
                  <c:v>23836521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7B-48A5-BD7C-A8D97F3EF314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6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Validation'!$I$49:$J$49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3C7B-48A5-BD7C-A8D97F3EF314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B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D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Validation'!$I$50:$J$50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C7B-48A5-BD7C-A8D97F3EF314}"/>
                  </c:ext>
                </c:extLst>
              </c15:ser>
            </c15:filteredPieSeries>
            <c15:filteredPieSeries>
              <c15:ser>
                <c:idx val="3"/>
                <c:order val="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0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2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Validation'!$I$51:$J$51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C7B-48A5-BD7C-A8D97F3EF314}"/>
                  </c:ext>
                </c:extLst>
              </c15:ser>
            </c15:filteredPieSeries>
            <c15:filteredPieSeries>
              <c15:ser>
                <c:idx val="4"/>
                <c:order val="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5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Validation'!$I$52:$J$52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3C7B-48A5-BD7C-A8D97F3EF314}"/>
                  </c:ext>
                </c:extLst>
              </c15:ser>
            </c15:filteredPieSeries>
            <c15:filteredPieSeries>
              <c15:ser>
                <c:idx val="5"/>
                <c:order val="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A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C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Validation'!$I$53:$J$53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C7B-48A5-BD7C-A8D97F3EF314}"/>
                  </c:ext>
                </c:extLst>
              </c15:ser>
            </c15:filteredPieSeries>
            <c15:filteredPieSeries>
              <c15:ser>
                <c:idx val="6"/>
                <c:order val="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1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Validation'!$I$54:$J$54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C7B-48A5-BD7C-A8D97F3EF314}"/>
                  </c:ext>
                </c:extLst>
              </c15:ser>
            </c15:filteredPieSeries>
            <c15:filteredPieSeries>
              <c15:ser>
                <c:idx val="7"/>
                <c:order val="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Validation'!$I$55:$J$55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C7B-48A5-BD7C-A8D97F3EF314}"/>
                  </c:ext>
                </c:extLst>
              </c15:ser>
            </c15:filteredPieSeries>
            <c15:filteredPieSeries>
              <c15:ser>
                <c:idx val="8"/>
                <c:order val="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9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Validation'!$I$56:$J$56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C7B-48A5-BD7C-A8D97F3EF314}"/>
                  </c:ext>
                </c:extLst>
              </c15:ser>
            </c15:filteredPieSeries>
            <c15:filteredPieSeries>
              <c15:ser>
                <c:idx val="9"/>
                <c:order val="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E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0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Validation'!$I$57:$J$57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3C7B-48A5-BD7C-A8D97F3EF314}"/>
                  </c:ext>
                </c:extLst>
              </c15:ser>
            </c15:filteredPieSeries>
            <c15:filteredPieSeries>
              <c15:ser>
                <c:idx val="10"/>
                <c:order val="1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Validation'!$I$58:$J$58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C7B-48A5-BD7C-A8D97F3EF314}"/>
                  </c:ext>
                </c:extLst>
              </c15:ser>
            </c15:filteredPieSeries>
            <c15:filteredPieSeries>
              <c15:ser>
                <c:idx val="11"/>
                <c:order val="1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Validation'!$I$59:$J$59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3C7B-48A5-BD7C-A8D97F3EF314}"/>
                  </c:ext>
                </c:extLst>
              </c15:ser>
            </c15:filteredPieSeries>
            <c15:filteredPieSeries>
              <c15:ser>
                <c:idx val="12"/>
                <c:order val="1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D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F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Validation'!$I$60:$J$60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3C7B-48A5-BD7C-A8D97F3EF314}"/>
                  </c:ext>
                </c:extLst>
              </c15:ser>
            </c15:filteredPieSeries>
            <c15:filteredPieSeries>
              <c15:ser>
                <c:idx val="13"/>
                <c:order val="1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2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4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Validation'!$I$61:$J$61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3C7B-48A5-BD7C-A8D97F3EF314}"/>
                  </c:ext>
                </c:extLst>
              </c15:ser>
            </c15:filteredPieSeries>
            <c15:filteredPieSeries>
              <c15:ser>
                <c:idx val="14"/>
                <c:order val="1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Validation'!$I$62:$J$62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3C7B-48A5-BD7C-A8D97F3EF314}"/>
                  </c:ext>
                </c:extLst>
              </c15:ser>
            </c15:filteredPieSeries>
            <c15:filteredPieSeries>
              <c15:ser>
                <c:idx val="15"/>
                <c:order val="1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C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Validation'!$I$63:$J$63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3C7B-48A5-BD7C-A8D97F3EF314}"/>
                  </c:ext>
                </c:extLst>
              </c15:ser>
            </c15:filteredPieSeries>
            <c15:filteredPieSeries>
              <c15:ser>
                <c:idx val="16"/>
                <c:order val="1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1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Validation'!$I$64:$J$64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3C7B-48A5-BD7C-A8D97F3EF314}"/>
                  </c:ext>
                </c:extLst>
              </c15:ser>
            </c15:filteredPieSeries>
            <c15:filteredPieSeries>
              <c15:ser>
                <c:idx val="17"/>
                <c:order val="1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8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Validation'!$I$65:$J$65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3C7B-48A5-BD7C-A8D97F3EF314}"/>
                  </c:ext>
                </c:extLst>
              </c15:ser>
            </c15:filteredPieSeries>
            <c15:filteredPieSeries>
              <c15:ser>
                <c:idx val="18"/>
                <c:order val="1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Validation'!$I$66:$J$66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3C7B-48A5-BD7C-A8D97F3EF314}"/>
                  </c:ext>
                </c:extLst>
              </c15:ser>
            </c15:filteredPieSeries>
            <c15:filteredPieSeries>
              <c15:ser>
                <c:idx val="19"/>
                <c:order val="1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0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2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Validation'!$I$67:$J$67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3-3C7B-48A5-BD7C-A8D97F3EF314}"/>
                  </c:ext>
                </c:extLst>
              </c15:ser>
            </c15:filteredPieSeries>
            <c15:filteredPieSeries>
              <c15:ser>
                <c:idx val="20"/>
                <c:order val="2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5-3C7B-48A5-BD7C-A8D97F3EF31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7-3C7B-48A5-BD7C-A8D97F3EF314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Validation'!$I$47:$J$47</c15:sqref>
                        </c15:formulaRef>
                      </c:ext>
                    </c:extLst>
                    <c:strCache>
                      <c:ptCount val="2"/>
                      <c:pt idx="0">
                        <c:v>Cały kapitał wlasny(w tys zł)</c:v>
                      </c:pt>
                      <c:pt idx="1">
                        <c:v>Zobowiązania(w tys zł)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Validation'!$I$68:$J$68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8-3C7B-48A5-BD7C-A8D97F3EF314}"/>
                  </c:ext>
                </c:extLst>
              </c15:ser>
            </c15:filteredPieSeries>
          </c:ext>
        </c:extLst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solidFill>
                  <a:srgbClr val="0070C0"/>
                </a:solidFill>
              </a:rPr>
              <a:t>Struktura kosztów</a:t>
            </a:r>
          </a:p>
        </c:rich>
      </c:tx>
      <c:layout>
        <c:manualLayout>
          <c:xMode val="edge"/>
          <c:yMode val="edge"/>
          <c:x val="0.25972222222222224"/>
          <c:y val="4.25531914893617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0070C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743657042869634E-5"/>
          <c:y val="0.292617412185179"/>
          <c:w val="0.98760673665791776"/>
          <c:h val="0.63347796950913049"/>
        </c:manualLayout>
      </c:layout>
      <c:ofPieChart>
        <c:ofPieType val="pie"/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DEB-44C6-A422-4F4727DB1DE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DEB-44C6-A422-4F4727DB1DE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DEB-44C6-A422-4F4727DB1DE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3DEB-44C6-A422-4F4727DB1DE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3DEB-44C6-A422-4F4727DB1DE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E7-3DEB-44C6-A422-4F4727DB1DE4}"/>
              </c:ext>
            </c:extLst>
          </c:dPt>
          <c:dLbls>
            <c:dLbl>
              <c:idx val="1"/>
              <c:layout>
                <c:manualLayout>
                  <c:x val="-4.7510279965004426E-2"/>
                  <c:y val="1.2028815546992796E-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EB-44C6-A422-4F4727DB1DE4}"/>
                </c:ext>
              </c:extLst>
            </c:dLbl>
            <c:dLbl>
              <c:idx val="2"/>
              <c:layout>
                <c:manualLayout>
                  <c:x val="-3.4312117235345579E-2"/>
                  <c:y val="2.8321885296252798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DEB-44C6-A422-4F4727DB1DE4}"/>
                </c:ext>
              </c:extLst>
            </c:dLbl>
            <c:dLbl>
              <c:idx val="5"/>
              <c:layout>
                <c:manualLayout>
                  <c:x val="-6.1772965879265146E-2"/>
                  <c:y val="7.562796671692634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E7-3DEB-44C6-A422-4F4727DB1DE4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'Data Validation'!$H$72:$L$72</c:f>
              <c:strCache>
                <c:ptCount val="5"/>
                <c:pt idx="0">
                  <c:v>Koszty produkcji</c:v>
                </c:pt>
                <c:pt idx="1">
                  <c:v>Koszty sprzedaży</c:v>
                </c:pt>
                <c:pt idx="2">
                  <c:v>Koszty ogólnego zarządu</c:v>
                </c:pt>
                <c:pt idx="3">
                  <c:v>Pozostałe koszty operacyjne</c:v>
                </c:pt>
                <c:pt idx="4">
                  <c:v>Koszty finansowe</c:v>
                </c:pt>
              </c:strCache>
            </c:strRef>
          </c:cat>
          <c:val>
            <c:numRef>
              <c:f>'Data Validation'!$H$73:$L$73</c:f>
              <c:numCache>
                <c:formatCode>General</c:formatCode>
                <c:ptCount val="5"/>
                <c:pt idx="0">
                  <c:v>45871730</c:v>
                </c:pt>
                <c:pt idx="1">
                  <c:v>2641239</c:v>
                </c:pt>
                <c:pt idx="2">
                  <c:v>1170927</c:v>
                </c:pt>
                <c:pt idx="3">
                  <c:v>1221477</c:v>
                </c:pt>
                <c:pt idx="4">
                  <c:v>670838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DEB-44C6-A422-4F4727DB1DE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gapWidth val="100"/>
        <c:secondPieSize val="75"/>
        <c:serLines>
          <c:spPr>
            <a:ln w="9525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serLines>
        <c:extLst>
          <c:ext xmlns:c15="http://schemas.microsoft.com/office/drawing/2012/chart" uri="{02D57815-91ED-43cb-92C2-25804820EDAC}">
            <c15:filteredPieSeries>
              <c15:ser>
                <c:idx val="1"/>
                <c:order val="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E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0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2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4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1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'Data Validation'!$H$74:$L$74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5-3DEB-44C6-A422-4F4727DB1DE4}"/>
                  </c:ext>
                </c:extLst>
              </c15:ser>
            </c15:filteredPieSeries>
            <c15:filteredPieSeries>
              <c15:ser>
                <c:idx val="2"/>
                <c:order val="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7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9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B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D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1F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Validation'!$H$75:$L$75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DEB-44C6-A422-4F4727DB1DE4}"/>
                  </c:ext>
                </c:extLst>
              </c15:ser>
            </c15:filteredPieSeries>
            <c15:filteredPieSeries>
              <c15:ser>
                <c:idx val="3"/>
                <c:order val="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2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4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6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8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A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Validation'!$H$76:$L$76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3DEB-44C6-A422-4F4727DB1DE4}"/>
                  </c:ext>
                </c:extLst>
              </c15:ser>
            </c15:filteredPieSeries>
            <c15:filteredPieSeries>
              <c15:ser>
                <c:idx val="4"/>
                <c:order val="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D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1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3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5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Validation'!$H$77:$L$77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3DEB-44C6-A422-4F4727DB1DE4}"/>
                  </c:ext>
                </c:extLst>
              </c15:ser>
            </c15:filteredPieSeries>
            <c15:filteredPieSeries>
              <c15:ser>
                <c:idx val="5"/>
                <c:order val="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8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A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C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3E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0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Validation'!$H$78:$L$78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3DEB-44C6-A422-4F4727DB1DE4}"/>
                  </c:ext>
                </c:extLst>
              </c15:ser>
            </c15:filteredPieSeries>
            <c15:filteredPieSeries>
              <c15:ser>
                <c:idx val="6"/>
                <c:order val="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3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5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7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9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B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Validation'!$H$79:$L$79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3DEB-44C6-A422-4F4727DB1DE4}"/>
                  </c:ext>
                </c:extLst>
              </c15:ser>
            </c15:filteredPieSeries>
            <c15:filteredPieSeries>
              <c15:ser>
                <c:idx val="7"/>
                <c:order val="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4E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0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2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4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6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Validation'!$H$80:$L$80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3DEB-44C6-A422-4F4727DB1DE4}"/>
                  </c:ext>
                </c:extLst>
              </c15:ser>
            </c15:filteredPieSeries>
            <c15:filteredPieSeries>
              <c15:ser>
                <c:idx val="8"/>
                <c:order val="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9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B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D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5F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1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Validation'!$H$81:$L$81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2-3DEB-44C6-A422-4F4727DB1DE4}"/>
                  </c:ext>
                </c:extLst>
              </c15:ser>
            </c15:filteredPieSeries>
            <c15:filteredPieSeries>
              <c15:ser>
                <c:idx val="9"/>
                <c:order val="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4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6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8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A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C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Validation'!$H$82:$L$82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6D-3DEB-44C6-A422-4F4727DB1DE4}"/>
                  </c:ext>
                </c:extLst>
              </c15:ser>
            </c15:filteredPieSeries>
            <c15:filteredPieSeries>
              <c15:ser>
                <c:idx val="10"/>
                <c:order val="1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6F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1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3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5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7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Validation'!$H$83:$L$83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78-3DEB-44C6-A422-4F4727DB1DE4}"/>
                  </c:ext>
                </c:extLst>
              </c15:ser>
            </c15:filteredPieSeries>
            <c15:filteredPieSeries>
              <c15:ser>
                <c:idx val="11"/>
                <c:order val="11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A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C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7E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0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2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Validation'!$H$84:$L$84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3-3DEB-44C6-A422-4F4727DB1DE4}"/>
                  </c:ext>
                </c:extLst>
              </c15:ser>
            </c15:filteredPieSeries>
            <c15:filteredPieSeries>
              <c15:ser>
                <c:idx val="12"/>
                <c:order val="12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5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7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9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B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8D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Validation'!$H$85:$L$85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8E-3DEB-44C6-A422-4F4727DB1DE4}"/>
                  </c:ext>
                </c:extLst>
              </c15:ser>
            </c15:filteredPieSeries>
            <c15:filteredPieSeries>
              <c15:ser>
                <c:idx val="13"/>
                <c:order val="13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0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2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4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6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8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Validation'!$H$86:$L$86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99-3DEB-44C6-A422-4F4727DB1DE4}"/>
                  </c:ext>
                </c:extLst>
              </c15:ser>
            </c15:filteredPieSeries>
            <c15:filteredPieSeries>
              <c15:ser>
                <c:idx val="14"/>
                <c:order val="14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B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D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9F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1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3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Validation'!$H$87:$L$87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4-3DEB-44C6-A422-4F4727DB1DE4}"/>
                  </c:ext>
                </c:extLst>
              </c15:ser>
            </c15:filteredPieSeries>
            <c15:filteredPieSeries>
              <c15:ser>
                <c:idx val="15"/>
                <c:order val="15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6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8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A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C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AE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Validation'!$H$88:$L$88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AF-3DEB-44C6-A422-4F4727DB1DE4}"/>
                  </c:ext>
                </c:extLst>
              </c15:ser>
            </c15:filteredPieSeries>
            <c15:filteredPieSeries>
              <c15:ser>
                <c:idx val="16"/>
                <c:order val="16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1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3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5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7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9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Validation'!$H$89:$L$89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BA-3DEB-44C6-A422-4F4727DB1DE4}"/>
                  </c:ext>
                </c:extLst>
              </c15:ser>
            </c15:filteredPieSeries>
            <c15:filteredPieSeries>
              <c15:ser>
                <c:idx val="17"/>
                <c:order val="17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C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BE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0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2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4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7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Validation'!$H$90:$L$90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C5-3DEB-44C6-A422-4F4727DB1DE4}"/>
                  </c:ext>
                </c:extLst>
              </c15:ser>
            </c15:filteredPieSeries>
            <c15:filteredPieSeries>
              <c15:ser>
                <c:idx val="18"/>
                <c:order val="18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7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9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B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D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CF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3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Validation'!$H$91:$L$91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D0-3DEB-44C6-A422-4F4727DB1DE4}"/>
                  </c:ext>
                </c:extLst>
              </c15:ser>
            </c15:filteredPieSeries>
            <c15:filteredPieSeries>
              <c15:ser>
                <c:idx val="19"/>
                <c:order val="19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2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4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6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8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A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F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Validation'!$H$92:$L$92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DB-3DEB-44C6-A422-4F4727DB1DE4}"/>
                  </c:ext>
                </c:extLst>
              </c15:ser>
            </c15:filteredPieSeries>
            <c15:filteredPieSeries>
              <c15:ser>
                <c:idx val="20"/>
                <c:order val="20"/>
                <c:dPt>
                  <c:idx val="0"/>
                  <c:bubble3D val="0"/>
                  <c:spPr>
                    <a:solidFill>
                      <a:schemeClr val="accent1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D-3DEB-44C6-A422-4F4727DB1DE4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DF-3DEB-44C6-A422-4F4727DB1DE4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1-3DEB-44C6-A422-4F4727DB1DE4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3-3DEB-44C6-A422-4F4727DB1DE4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E5-3DEB-44C6-A422-4F4727DB1DE4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>
                      <a:noFill/>
                    </a:ln>
                    <a:effectLst>
                      <a:outerShdw blurRad="2540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FB-83E3-4CEC-8222-2E9A6EDC650B}"/>
                    </c:ext>
                  </c:extLst>
                </c:dPt>
                <c:dLbls>
                  <c:spPr>
                    <a:pattFill prst="pct75">
                      <a:fgClr>
                        <a:schemeClr val="dk1">
                          <a:lumMod val="75000"/>
                          <a:lumOff val="25000"/>
                        </a:schemeClr>
                      </a:fgClr>
                      <a:bgClr>
                        <a:schemeClr val="dk1">
                          <a:lumMod val="65000"/>
                          <a:lumOff val="35000"/>
                        </a:schemeClr>
                      </a:bgClr>
                    </a:pattFill>
                    <a:ln>
                      <a:noFill/>
                    </a:ln>
                    <a:effectLst>
                      <a:outerShdw blurRad="50800" dist="38100" dir="2700000" algn="tl" rotWithShape="0">
                        <a:prstClr val="black">
                          <a:alpha val="40000"/>
                        </a:prstClr>
                      </a:outerShdw>
                    </a:effectLst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000" b="1" i="0" u="none" strike="noStrike" kern="1200" baseline="0">
                          <a:solidFill>
                            <a:schemeClr val="lt1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ctr"/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dk1">
                            <a:lumMod val="50000"/>
                            <a:lumOff val="50000"/>
                          </a:schemeClr>
                        </a:solidFill>
                      </a:ln>
                      <a:effectLst/>
                    </c:spPr>
                  </c:leaderLines>
                  <c:extLst xmlns:c15="http://schemas.microsoft.com/office/drawing/2012/chart">
                    <c:ext xmlns:c15="http://schemas.microsoft.com/office/drawing/2012/chart" uri="{CE6537A1-D6FC-4f65-9D91-7224C49458BB}"/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Validation'!$H$72:$L$72</c15:sqref>
                        </c15:formulaRef>
                      </c:ext>
                    </c:extLst>
                    <c:strCache>
                      <c:ptCount val="5"/>
                      <c:pt idx="0">
                        <c:v>Koszty produkcji</c:v>
                      </c:pt>
                      <c:pt idx="1">
                        <c:v>Koszty sprzedaży</c:v>
                      </c:pt>
                      <c:pt idx="2">
                        <c:v>Koszty ogólnego zarządu</c:v>
                      </c:pt>
                      <c:pt idx="3">
                        <c:v>Pozostałe koszty operacyjne</c:v>
                      </c:pt>
                      <c:pt idx="4">
                        <c:v>Koszty finansowe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'Data Validation'!$H$93:$L$93</c15:sqref>
                        </c15:formulaRef>
                      </c:ext>
                    </c:extLst>
                    <c:numCache>
                      <c:formatCode>General</c:formatCode>
                      <c:ptCount val="5"/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E6-3DEB-44C6-A422-4F4727DB1DE4}"/>
                  </c:ext>
                </c:extLst>
              </c15:ser>
            </c15:filteredPieSeries>
          </c:ext>
        </c:extLst>
      </c:of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026082677165349"/>
          <c:y val="0.26806500251298371"/>
          <c:w val="0.26973917322834645"/>
          <c:h val="0.5984084436253979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Validation'!$AB$27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0"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cene3d>
              <a:camera prst="orthographicFront"/>
              <a:lightRig rig="threePt" dir="t"/>
            </a:scene3d>
            <a:sp3d>
              <a:bevelT w="0"/>
            </a:sp3d>
          </c:spPr>
          <c:invertIfNegative val="0"/>
          <c:cat>
            <c:numRef>
              <c:f>'Data Validation'!$W$28:$W$48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Validation'!$AB$28:$AB$48</c:f>
              <c:numCache>
                <c:formatCode>General</c:formatCode>
                <c:ptCount val="21"/>
                <c:pt idx="0">
                  <c:v>3636845</c:v>
                </c:pt>
                <c:pt idx="1">
                  <c:v>3663889</c:v>
                </c:pt>
                <c:pt idx="2">
                  <c:v>#N/A</c:v>
                </c:pt>
                <c:pt idx="3">
                  <c:v>1965066</c:v>
                </c:pt>
                <c:pt idx="4">
                  <c:v>3616760</c:v>
                </c:pt>
                <c:pt idx="5">
                  <c:v>5161793</c:v>
                </c:pt>
                <c:pt idx="6">
                  <c:v>6110199</c:v>
                </c:pt>
                <c:pt idx="7">
                  <c:v>761106</c:v>
                </c:pt>
                <c:pt idx="8">
                  <c:v>3089185</c:v>
                </c:pt>
                <c:pt idx="9">
                  <c:v>5671000</c:v>
                </c:pt>
                <c:pt idx="10">
                  <c:v>3187000</c:v>
                </c:pt>
                <c:pt idx="11">
                  <c:v>5354000</c:v>
                </c:pt>
                <c:pt idx="12">
                  <c:v>9331000</c:v>
                </c:pt>
                <c:pt idx="13">
                  <c:v>8050000</c:v>
                </c:pt>
                <c:pt idx="14">
                  <c:v>4979000</c:v>
                </c:pt>
                <c:pt idx="15">
                  <c:v>9319000</c:v>
                </c:pt>
                <c:pt idx="16">
                  <c:v>7247000</c:v>
                </c:pt>
                <c:pt idx="17">
                  <c:v>13296000</c:v>
                </c:pt>
                <c:pt idx="18">
                  <c:v>30951000</c:v>
                </c:pt>
                <c:pt idx="19">
                  <c:v>41914000</c:v>
                </c:pt>
                <c:pt idx="20">
                  <c:v>36634000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0B-404F-A98F-E4EB442B0C28}"/>
            </c:ext>
          </c:extLst>
        </c:ser>
        <c:ser>
          <c:idx val="1"/>
          <c:order val="1"/>
          <c:tx>
            <c:strRef>
              <c:f>'Data Validation'!$AC$27</c:f>
              <c:strCache>
                <c:ptCount val="1"/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20"/>
            <c:invertIfNegative val="0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0">
                <a:solidFill>
                  <a:srgbClr val="EE0000">
                    <a:alpha val="95000"/>
                  </a:srgbClr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F0B-404F-A98F-E4EB442B0C28}"/>
              </c:ext>
            </c:extLst>
          </c:dPt>
          <c:cat>
            <c:numRef>
              <c:f>'Data Validation'!$W$28:$W$48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Validation'!$AC$28:$AC$48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3693189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0B-404F-A98F-E4EB442B0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-24"/>
        <c:axId val="2045305295"/>
        <c:axId val="2045301935"/>
      </c:barChart>
      <c:catAx>
        <c:axId val="2045305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301935"/>
        <c:crosses val="autoZero"/>
        <c:auto val="1"/>
        <c:lblAlgn val="ctr"/>
        <c:lblOffset val="100"/>
        <c:noMultiLvlLbl val="0"/>
      </c:catAx>
      <c:valAx>
        <c:axId val="204530193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3052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'Data Validation'!$C$24</c:f>
              <c:strCache>
                <c:ptCount val="1"/>
                <c:pt idx="0">
                  <c:v>Płynności bieżącej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Validation'!$C$25:$C$45</c:f>
              <c:numCache>
                <c:formatCode>General</c:formatCode>
                <c:ptCount val="21"/>
                <c:pt idx="0">
                  <c:v>1.9801922283743079</c:v>
                </c:pt>
                <c:pt idx="1">
                  <c:v>1.4663337576979782</c:v>
                </c:pt>
                <c:pt idx="2">
                  <c:v>1.193563303741846</c:v>
                </c:pt>
                <c:pt idx="3">
                  <c:v>1.5569589754139974</c:v>
                </c:pt>
                <c:pt idx="4">
                  <c:v>0.81132301005161644</c:v>
                </c:pt>
                <c:pt idx="5">
                  <c:v>1.3726310462937141</c:v>
                </c:pt>
                <c:pt idx="6">
                  <c:v>1.2756400729024506</c:v>
                </c:pt>
                <c:pt idx="7">
                  <c:v>1.5208525622813502</c:v>
                </c:pt>
                <c:pt idx="8">
                  <c:v>1.706858578559582</c:v>
                </c:pt>
                <c:pt idx="9">
                  <c:v>1.5321215919774365</c:v>
                </c:pt>
                <c:pt idx="10">
                  <c:v>1.5500926321789938</c:v>
                </c:pt>
                <c:pt idx="11">
                  <c:v>1.520196107127177</c:v>
                </c:pt>
                <c:pt idx="12">
                  <c:v>1.5184405270441008</c:v>
                </c:pt>
                <c:pt idx="13">
                  <c:v>1.7655963862776218</c:v>
                </c:pt>
                <c:pt idx="14">
                  <c:v>1.7850633211030891</c:v>
                </c:pt>
                <c:pt idx="15">
                  <c:v>1.7464442013129102</c:v>
                </c:pt>
                <c:pt idx="16">
                  <c:v>1.0737654859535857</c:v>
                </c:pt>
                <c:pt idx="17">
                  <c:v>1.255999735912587</c:v>
                </c:pt>
                <c:pt idx="18">
                  <c:v>1.2703944073233373</c:v>
                </c:pt>
                <c:pt idx="19">
                  <c:v>1.3459254561701883</c:v>
                </c:pt>
                <c:pt idx="20">
                  <c:v>1.1389036368462968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4A-4296-BD70-6DF41B594143}"/>
            </c:ext>
          </c:extLst>
        </c:ser>
        <c:ser>
          <c:idx val="1"/>
          <c:order val="1"/>
          <c:tx>
            <c:strRef>
              <c:f>'Data Validation'!$D$24</c:f>
              <c:strCache>
                <c:ptCount val="1"/>
                <c:pt idx="0">
                  <c:v>Płynności szybkiej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Validation'!$D$25:$D$45</c:f>
              <c:numCache>
                <c:formatCode>General</c:formatCode>
                <c:ptCount val="21"/>
                <c:pt idx="0">
                  <c:v>1.1800367458660901</c:v>
                </c:pt>
                <c:pt idx="1">
                  <c:v>0.75028582827065027</c:v>
                </c:pt>
                <c:pt idx="2">
                  <c:v>0.69627415031396567</c:v>
                </c:pt>
                <c:pt idx="3">
                  <c:v>0.72363717869034638</c:v>
                </c:pt>
                <c:pt idx="4">
                  <c:v>0.39458397954142438</c:v>
                </c:pt>
                <c:pt idx="5">
                  <c:v>0.62250941478717026</c:v>
                </c:pt>
                <c:pt idx="6">
                  <c:v>0.5802290213667326</c:v>
                </c:pt>
                <c:pt idx="7">
                  <c:v>0.69832759066326489</c:v>
                </c:pt>
                <c:pt idx="8">
                  <c:v>0.71454283712038558</c:v>
                </c:pt>
                <c:pt idx="9">
                  <c:v>0.67038545910372926</c:v>
                </c:pt>
                <c:pt idx="10">
                  <c:v>0.84972210346301835</c:v>
                </c:pt>
                <c:pt idx="11">
                  <c:v>0.73613346992536222</c:v>
                </c:pt>
                <c:pt idx="12">
                  <c:v>0.8456771554058119</c:v>
                </c:pt>
                <c:pt idx="13">
                  <c:v>1.0062263459895007</c:v>
                </c:pt>
                <c:pt idx="14">
                  <c:v>0.93780329033021659</c:v>
                </c:pt>
                <c:pt idx="15">
                  <c:v>0.9218271334792123</c:v>
                </c:pt>
                <c:pt idx="16">
                  <c:v>0.53812598150410051</c:v>
                </c:pt>
                <c:pt idx="17">
                  <c:v>0.64826857689895356</c:v>
                </c:pt>
                <c:pt idx="18">
                  <c:v>0.79319458209448301</c:v>
                </c:pt>
                <c:pt idx="19">
                  <c:v>0.87326684154391632</c:v>
                </c:pt>
                <c:pt idx="20">
                  <c:v>0.78779532784709316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4A-4296-BD70-6DF41B594143}"/>
            </c:ext>
          </c:extLst>
        </c:ser>
        <c:ser>
          <c:idx val="2"/>
          <c:order val="2"/>
          <c:tx>
            <c:strRef>
              <c:f>'Data Validation'!$F$24</c:f>
              <c:strCache>
                <c:ptCount val="1"/>
              </c:strCache>
            </c:strRef>
          </c:tx>
          <c:spPr>
            <a:ln w="22225" cap="rnd">
              <a:solidFill>
                <a:srgbClr val="EE0000"/>
              </a:solidFill>
              <a:round/>
            </a:ln>
            <a:effectLst/>
          </c:spPr>
          <c:marker>
            <c:symbol val="x"/>
            <c:size val="7"/>
            <c:spPr>
              <a:solidFill>
                <a:srgbClr val="EE0000"/>
              </a:solidFill>
              <a:ln w="9525">
                <a:solidFill>
                  <a:srgbClr val="EE0000"/>
                </a:solidFill>
                <a:round/>
              </a:ln>
              <a:effectLst/>
            </c:spPr>
          </c:marker>
          <c:dPt>
            <c:idx val="0"/>
            <c:marker>
              <c:symbol val="x"/>
              <c:size val="6"/>
              <c:spPr>
                <a:solidFill>
                  <a:srgbClr val="EE0000"/>
                </a:solidFill>
                <a:ln w="9525">
                  <a:solidFill>
                    <a:srgbClr val="EE0000"/>
                  </a:solidFill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9C4A-4296-BD70-6DF41B594143}"/>
              </c:ext>
            </c:extLst>
          </c:dPt>
          <c:dPt>
            <c:idx val="12"/>
            <c:marker>
              <c:symbol val="x"/>
              <c:size val="7"/>
              <c:spPr>
                <a:solidFill>
                  <a:srgbClr val="EE0000"/>
                </a:solidFill>
                <a:ln w="9525">
                  <a:solidFill>
                    <a:srgbClr val="EE0000"/>
                  </a:solidFill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rgbClr val="EE0000"/>
                </a:solidFill>
                <a:round/>
              </a:ln>
              <a:effectLst>
                <a:outerShdw blurRad="50800" dist="50800" dir="5400000" algn="ctr" rotWithShape="0">
                  <a:schemeClr val="bg1"/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4A-4296-BD70-6DF41B594143}"/>
              </c:ext>
            </c:extLst>
          </c:dPt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Validation'!$F$25:$F$45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1.193563303741846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C4A-4296-BD70-6DF41B594143}"/>
            </c:ext>
          </c:extLst>
        </c:ser>
        <c:ser>
          <c:idx val="3"/>
          <c:order val="3"/>
          <c:tx>
            <c:strRef>
              <c:f>'Data Validation'!$H$24</c:f>
              <c:strCache>
                <c:ptCount val="1"/>
              </c:strCache>
            </c:strRef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x"/>
            <c:size val="7"/>
            <c:spPr>
              <a:solidFill>
                <a:srgbClr val="EE0000"/>
              </a:solidFill>
              <a:ln w="9525">
                <a:noFill/>
                <a:round/>
              </a:ln>
              <a:effectLst/>
            </c:spPr>
          </c:marker>
          <c:dPt>
            <c:idx val="12"/>
            <c:marker>
              <c:symbol val="x"/>
              <c:size val="7"/>
              <c:spPr>
                <a:solidFill>
                  <a:srgbClr val="EE0000"/>
                </a:solidFill>
                <a:ln w="9525">
                  <a:noFill/>
                  <a:round/>
                </a:ln>
                <a:effectLst/>
              </c:spPr>
            </c:marker>
            <c:bubble3D val="0"/>
            <c:spPr>
              <a:ln w="2222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9C4A-4296-BD70-6DF41B594143}"/>
              </c:ext>
            </c:extLst>
          </c:dPt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Validation'!$H$25:$H$45</c:f>
              <c:numCache>
                <c:formatCode>General</c:formatCode>
                <c:ptCount val="21"/>
                <c:pt idx="0">
                  <c:v>#N/A</c:v>
                </c:pt>
                <c:pt idx="1">
                  <c:v>#N/A</c:v>
                </c:pt>
                <c:pt idx="2">
                  <c:v>0.69627415031396567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4A-4296-BD70-6DF41B594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252975"/>
        <c:axId val="2045253455"/>
      </c:lineChart>
      <c:catAx>
        <c:axId val="204525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253455"/>
        <c:crosses val="autoZero"/>
        <c:auto val="1"/>
        <c:lblAlgn val="ctr"/>
        <c:lblOffset val="100"/>
        <c:noMultiLvlLbl val="0"/>
      </c:catAx>
      <c:valAx>
        <c:axId val="204525345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252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'Data Validation'!$C$24</c:f>
              <c:strCache>
                <c:ptCount val="1"/>
                <c:pt idx="0">
                  <c:v>Płynności bieżącej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Validation'!$C$25:$C$45</c:f>
              <c:numCache>
                <c:formatCode>General</c:formatCode>
                <c:ptCount val="21"/>
                <c:pt idx="0">
                  <c:v>1.9801922283743079</c:v>
                </c:pt>
                <c:pt idx="1">
                  <c:v>1.4663337576979782</c:v>
                </c:pt>
                <c:pt idx="2">
                  <c:v>1.193563303741846</c:v>
                </c:pt>
                <c:pt idx="3">
                  <c:v>1.5569589754139974</c:v>
                </c:pt>
                <c:pt idx="4">
                  <c:v>0.81132301005161644</c:v>
                </c:pt>
                <c:pt idx="5">
                  <c:v>1.3726310462937141</c:v>
                </c:pt>
                <c:pt idx="6">
                  <c:v>1.2756400729024506</c:v>
                </c:pt>
                <c:pt idx="7">
                  <c:v>1.5208525622813502</c:v>
                </c:pt>
                <c:pt idx="8">
                  <c:v>1.706858578559582</c:v>
                </c:pt>
                <c:pt idx="9">
                  <c:v>1.5321215919774365</c:v>
                </c:pt>
                <c:pt idx="10">
                  <c:v>1.5500926321789938</c:v>
                </c:pt>
                <c:pt idx="11">
                  <c:v>1.520196107127177</c:v>
                </c:pt>
                <c:pt idx="12">
                  <c:v>1.5184405270441008</c:v>
                </c:pt>
                <c:pt idx="13">
                  <c:v>1.7655963862776218</c:v>
                </c:pt>
                <c:pt idx="14">
                  <c:v>1.7850633211030891</c:v>
                </c:pt>
                <c:pt idx="15">
                  <c:v>1.7464442013129102</c:v>
                </c:pt>
                <c:pt idx="16">
                  <c:v>1.0737654859535857</c:v>
                </c:pt>
                <c:pt idx="17">
                  <c:v>1.255999735912587</c:v>
                </c:pt>
                <c:pt idx="18">
                  <c:v>1.2703944073233373</c:v>
                </c:pt>
                <c:pt idx="19">
                  <c:v>1.3459254561701883</c:v>
                </c:pt>
                <c:pt idx="20">
                  <c:v>1.1389036368462968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83-4253-88FF-EEE379AD7B06}"/>
            </c:ext>
          </c:extLst>
        </c:ser>
        <c:ser>
          <c:idx val="1"/>
          <c:order val="1"/>
          <c:tx>
            <c:strRef>
              <c:f>'Data Validation'!$D$24</c:f>
              <c:strCache>
                <c:ptCount val="1"/>
                <c:pt idx="0">
                  <c:v>Płynności szybkiej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'Data Validation'!$B$25:$B$45</c:f>
              <c:numCache>
                <c:formatCode>General</c:formatCode>
                <c:ptCount val="21"/>
                <c:pt idx="0">
                  <c:v>2004</c:v>
                </c:pt>
                <c:pt idx="1">
                  <c:v>2005</c:v>
                </c:pt>
                <c:pt idx="2">
                  <c:v>2006</c:v>
                </c:pt>
                <c:pt idx="3">
                  <c:v>2007</c:v>
                </c:pt>
                <c:pt idx="4">
                  <c:v>2008</c:v>
                </c:pt>
                <c:pt idx="5">
                  <c:v>2009</c:v>
                </c:pt>
                <c:pt idx="6">
                  <c:v>2010</c:v>
                </c:pt>
                <c:pt idx="7">
                  <c:v>2011</c:v>
                </c:pt>
                <c:pt idx="8">
                  <c:v>2012</c:v>
                </c:pt>
                <c:pt idx="9">
                  <c:v>2013</c:v>
                </c:pt>
                <c:pt idx="10">
                  <c:v>2014</c:v>
                </c:pt>
                <c:pt idx="11">
                  <c:v>2015</c:v>
                </c:pt>
                <c:pt idx="12">
                  <c:v>2016</c:v>
                </c:pt>
                <c:pt idx="13">
                  <c:v>2017</c:v>
                </c:pt>
                <c:pt idx="14">
                  <c:v>2018</c:v>
                </c:pt>
                <c:pt idx="15">
                  <c:v>2019</c:v>
                </c:pt>
                <c:pt idx="16">
                  <c:v>2020</c:v>
                </c:pt>
                <c:pt idx="17">
                  <c:v>2021</c:v>
                </c:pt>
                <c:pt idx="18">
                  <c:v>2022</c:v>
                </c:pt>
                <c:pt idx="19">
                  <c:v>2023</c:v>
                </c:pt>
                <c:pt idx="20">
                  <c:v>2024</c:v>
                </c:pt>
              </c:numCache>
            </c:numRef>
          </c:cat>
          <c:val>
            <c:numRef>
              <c:f>'Data Validation'!$D$25:$D$45</c:f>
              <c:numCache>
                <c:formatCode>General</c:formatCode>
                <c:ptCount val="21"/>
                <c:pt idx="0">
                  <c:v>1.1800367458660901</c:v>
                </c:pt>
                <c:pt idx="1">
                  <c:v>0.75028582827065027</c:v>
                </c:pt>
                <c:pt idx="2">
                  <c:v>0.69627415031396567</c:v>
                </c:pt>
                <c:pt idx="3">
                  <c:v>0.72363717869034638</c:v>
                </c:pt>
                <c:pt idx="4">
                  <c:v>0.39458397954142438</c:v>
                </c:pt>
                <c:pt idx="5">
                  <c:v>0.62250941478717026</c:v>
                </c:pt>
                <c:pt idx="6">
                  <c:v>0.5802290213667326</c:v>
                </c:pt>
                <c:pt idx="7">
                  <c:v>0.69832759066326489</c:v>
                </c:pt>
                <c:pt idx="8">
                  <c:v>0.71454283712038558</c:v>
                </c:pt>
                <c:pt idx="9">
                  <c:v>0.67038545910372926</c:v>
                </c:pt>
                <c:pt idx="10">
                  <c:v>0.84972210346301835</c:v>
                </c:pt>
                <c:pt idx="11">
                  <c:v>0.73613346992536222</c:v>
                </c:pt>
                <c:pt idx="12">
                  <c:v>0.8456771554058119</c:v>
                </c:pt>
                <c:pt idx="13">
                  <c:v>1.0062263459895007</c:v>
                </c:pt>
                <c:pt idx="14">
                  <c:v>0.93780329033021659</c:v>
                </c:pt>
                <c:pt idx="15">
                  <c:v>0.9218271334792123</c:v>
                </c:pt>
                <c:pt idx="16">
                  <c:v>0.53812598150410051</c:v>
                </c:pt>
                <c:pt idx="17">
                  <c:v>0.64826857689895356</c:v>
                </c:pt>
                <c:pt idx="18">
                  <c:v>0.79319458209448301</c:v>
                </c:pt>
                <c:pt idx="19">
                  <c:v>0.87326684154391632</c:v>
                </c:pt>
                <c:pt idx="20">
                  <c:v>0.78779532784709316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83-4253-88FF-EEE379AD7B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3076976"/>
        <c:axId val="1883075536"/>
      </c:lineChart>
      <c:catAx>
        <c:axId val="1883076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075536"/>
        <c:crosses val="autoZero"/>
        <c:auto val="1"/>
        <c:lblAlgn val="ctr"/>
        <c:lblOffset val="100"/>
        <c:noMultiLvlLbl val="0"/>
      </c:catAx>
      <c:valAx>
        <c:axId val="1883075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307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314325</xdr:colOff>
      <xdr:row>19</xdr:row>
      <xdr:rowOff>9525</xdr:rowOff>
    </xdr:from>
    <xdr:to>
      <xdr:col>5</xdr:col>
      <xdr:colOff>47625</xdr:colOff>
      <xdr:row>24</xdr:row>
      <xdr:rowOff>133350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FD107865-8AE1-4928-A85A-D7A2214B37FF}"/>
            </a:ext>
          </a:extLst>
        </xdr:cNvPr>
        <xdr:cNvSpPr/>
      </xdr:nvSpPr>
      <xdr:spPr>
        <a:xfrm>
          <a:off x="314325" y="3829050"/>
          <a:ext cx="3762375" cy="107632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 editAs="oneCell">
    <xdr:from>
      <xdr:col>0</xdr:col>
      <xdr:colOff>321365</xdr:colOff>
      <xdr:row>12</xdr:row>
      <xdr:rowOff>1656</xdr:rowOff>
    </xdr:from>
    <xdr:to>
      <xdr:col>5</xdr:col>
      <xdr:colOff>54665</xdr:colOff>
      <xdr:row>17</xdr:row>
      <xdr:rowOff>125481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267DF00-8FCB-4A78-93EB-BE40B2C0D520}"/>
            </a:ext>
          </a:extLst>
        </xdr:cNvPr>
        <xdr:cNvSpPr/>
      </xdr:nvSpPr>
      <xdr:spPr>
        <a:xfrm>
          <a:off x="321365" y="2519569"/>
          <a:ext cx="3775213" cy="1076325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 editAs="absolute">
    <xdr:from>
      <xdr:col>0</xdr:col>
      <xdr:colOff>301870</xdr:colOff>
      <xdr:row>5</xdr:row>
      <xdr:rowOff>35901</xdr:rowOff>
    </xdr:from>
    <xdr:to>
      <xdr:col>5</xdr:col>
      <xdr:colOff>35170</xdr:colOff>
      <xdr:row>10</xdr:row>
      <xdr:rowOff>159726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8E4AD01-6A4B-7146-C56C-852CD3FB2023}"/>
            </a:ext>
          </a:extLst>
        </xdr:cNvPr>
        <xdr:cNvSpPr/>
      </xdr:nvSpPr>
      <xdr:spPr>
        <a:xfrm>
          <a:off x="301870" y="1194288"/>
          <a:ext cx="3755781" cy="1076325"/>
        </a:xfrm>
        <a:prstGeom prst="rect">
          <a:avLst/>
        </a:prstGeom>
        <a:effectLst>
          <a:reflection stA="95000" endPos="2000" dist="50800" dir="5400000" sy="-100000" algn="bl" rotWithShape="0"/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endParaRPr lang="en-GB" sz="1100"/>
        </a:p>
        <a:p>
          <a:pPr algn="ctr"/>
          <a:endParaRPr lang="en-GB" sz="1100"/>
        </a:p>
      </xdr:txBody>
    </xdr:sp>
    <xdr:clientData/>
  </xdr:twoCellAnchor>
  <xdr:twoCellAnchor editAs="absolute">
    <xdr:from>
      <xdr:col>0</xdr:col>
      <xdr:colOff>318053</xdr:colOff>
      <xdr:row>7</xdr:row>
      <xdr:rowOff>42242</xdr:rowOff>
    </xdr:from>
    <xdr:to>
      <xdr:col>2</xdr:col>
      <xdr:colOff>651428</xdr:colOff>
      <xdr:row>10</xdr:row>
      <xdr:rowOff>42241</xdr:rowOff>
    </xdr:to>
    <xdr:sp macro="" textlink="zysk_netto">
      <xdr:nvSpPr>
        <xdr:cNvPr id="3" name="TextBox 2">
          <a:extLst>
            <a:ext uri="{FF2B5EF4-FFF2-40B4-BE49-F238E27FC236}">
              <a16:creationId xmlns:a16="http://schemas.microsoft.com/office/drawing/2014/main" id="{0D905443-AC0C-2F8C-7C7D-0550081F1B85}"/>
            </a:ext>
          </a:extLst>
        </xdr:cNvPr>
        <xdr:cNvSpPr txBox="1"/>
      </xdr:nvSpPr>
      <xdr:spPr>
        <a:xfrm>
          <a:off x="318053" y="1579080"/>
          <a:ext cx="1559201" cy="57149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54707BD-070A-42BB-8A0A-623D1EE09ABF}" type="TxLink">
            <a:rPr lang="en-US" sz="1100" b="0" i="0" u="none" strike="noStrike">
              <a:solidFill>
                <a:srgbClr val="002060"/>
              </a:solidFill>
              <a:latin typeface="Aptos Narrow"/>
            </a:rPr>
            <a:pPr algn="ctr"/>
            <a:t>2060198</a:t>
          </a:fld>
          <a:endParaRPr lang="en-GB" sz="1100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0</xdr:col>
      <xdr:colOff>333375</xdr:colOff>
      <xdr:row>5</xdr:row>
      <xdr:rowOff>78399</xdr:rowOff>
    </xdr:from>
    <xdr:to>
      <xdr:col>2</xdr:col>
      <xdr:colOff>752474</xdr:colOff>
      <xdr:row>7</xdr:row>
      <xdr:rowOff>106973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ABB0197-1882-E64E-927E-5B9891867D4D}"/>
            </a:ext>
          </a:extLst>
        </xdr:cNvPr>
        <xdr:cNvSpPr txBox="1"/>
      </xdr:nvSpPr>
      <xdr:spPr>
        <a:xfrm>
          <a:off x="333375" y="1230924"/>
          <a:ext cx="1638299" cy="4095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Zysk/Strata</a:t>
          </a:r>
          <a:r>
            <a:rPr lang="en-GB" sz="1100" baseline="0"/>
            <a:t> Netto(w tys zł)</a:t>
          </a:r>
        </a:p>
      </xdr:txBody>
    </xdr:sp>
    <xdr:clientData/>
  </xdr:twoCellAnchor>
  <xdr:twoCellAnchor editAs="absolute">
    <xdr:from>
      <xdr:col>0</xdr:col>
      <xdr:colOff>370233</xdr:colOff>
      <xdr:row>12</xdr:row>
      <xdr:rowOff>75787</xdr:rowOff>
    </xdr:from>
    <xdr:to>
      <xdr:col>2</xdr:col>
      <xdr:colOff>703607</xdr:colOff>
      <xdr:row>14</xdr:row>
      <xdr:rowOff>86553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8CB9E33E-C480-3395-F664-6A7A4484943E}"/>
            </a:ext>
          </a:extLst>
        </xdr:cNvPr>
        <xdr:cNvSpPr txBox="1"/>
      </xdr:nvSpPr>
      <xdr:spPr>
        <a:xfrm>
          <a:off x="370233" y="2565125"/>
          <a:ext cx="1559200" cy="39176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Aktywa</a:t>
          </a:r>
          <a:r>
            <a:rPr lang="en-GB" sz="1100" baseline="0"/>
            <a:t> razem(w tys zł)</a:t>
          </a:r>
          <a:endParaRPr lang="en-GB" sz="1100"/>
        </a:p>
      </xdr:txBody>
    </xdr:sp>
    <xdr:clientData/>
  </xdr:twoCellAnchor>
  <xdr:twoCellAnchor editAs="absolute">
    <xdr:from>
      <xdr:col>0</xdr:col>
      <xdr:colOff>485776</xdr:colOff>
      <xdr:row>14</xdr:row>
      <xdr:rowOff>19051</xdr:rowOff>
    </xdr:from>
    <xdr:to>
      <xdr:col>2</xdr:col>
      <xdr:colOff>504826</xdr:colOff>
      <xdr:row>17</xdr:row>
      <xdr:rowOff>1</xdr:rowOff>
    </xdr:to>
    <xdr:sp macro="" textlink="aktywa_razem">
      <xdr:nvSpPr>
        <xdr:cNvPr id="8" name="Rectangle 7">
          <a:extLst>
            <a:ext uri="{FF2B5EF4-FFF2-40B4-BE49-F238E27FC236}">
              <a16:creationId xmlns:a16="http://schemas.microsoft.com/office/drawing/2014/main" id="{1755C529-6956-48B2-8DBC-C903E5A940F7}"/>
            </a:ext>
          </a:extLst>
        </xdr:cNvPr>
        <xdr:cNvSpPr/>
      </xdr:nvSpPr>
      <xdr:spPr>
        <a:xfrm>
          <a:off x="485776" y="2886076"/>
          <a:ext cx="1238250" cy="552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57F97803-AD00-4E22-BA29-18C8E18A9124}" type="TxLink">
            <a:rPr lang="en-US" sz="1100" b="0" i="0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45419084</a:t>
          </a:fld>
          <a:endParaRPr lang="en-GB" sz="1100" b="0" i="0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571501</xdr:colOff>
      <xdr:row>22</xdr:row>
      <xdr:rowOff>38100</xdr:rowOff>
    </xdr:from>
    <xdr:to>
      <xdr:col>2</xdr:col>
      <xdr:colOff>352425</xdr:colOff>
      <xdr:row>24</xdr:row>
      <xdr:rowOff>47625</xdr:rowOff>
    </xdr:to>
    <xdr:sp macro="" textlink="pp_oper">
      <xdr:nvSpPr>
        <xdr:cNvPr id="9" name="Rectangle 8">
          <a:extLst>
            <a:ext uri="{FF2B5EF4-FFF2-40B4-BE49-F238E27FC236}">
              <a16:creationId xmlns:a16="http://schemas.microsoft.com/office/drawing/2014/main" id="{ED47BA15-51B7-40D2-A1B7-A1B6B4C68B28}"/>
            </a:ext>
          </a:extLst>
        </xdr:cNvPr>
        <xdr:cNvSpPr/>
      </xdr:nvSpPr>
      <xdr:spPr>
        <a:xfrm>
          <a:off x="571501" y="4429125"/>
          <a:ext cx="1000124" cy="3905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BBF5DA3-4FC6-4940-B4ED-6A0F424DEFAA}" type="TxLink">
            <a:rPr lang="en-US" sz="1100" b="0" i="0" u="none" strike="noStrike">
              <a:solidFill>
                <a:srgbClr val="002060"/>
              </a:solidFill>
              <a:latin typeface="Aptos Narrow"/>
              <a:ea typeface="+mn-ea"/>
              <a:cs typeface="+mn-cs"/>
            </a:rPr>
            <a:pPr marL="0" indent="0" algn="ctr"/>
            <a:t>3693189</a:t>
          </a:fld>
          <a:endParaRPr lang="en-GB" sz="1100" b="0" i="0" u="none" strike="noStrike">
            <a:solidFill>
              <a:srgbClr val="00206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 editAs="absolute">
    <xdr:from>
      <xdr:col>0</xdr:col>
      <xdr:colOff>409574</xdr:colOff>
      <xdr:row>19</xdr:row>
      <xdr:rowOff>28573</xdr:rowOff>
    </xdr:from>
    <xdr:to>
      <xdr:col>2</xdr:col>
      <xdr:colOff>619125</xdr:colOff>
      <xdr:row>22</xdr:row>
      <xdr:rowOff>66674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E6232579-1F63-4B3A-BD36-ED5CEF1CF0AB}"/>
            </a:ext>
          </a:extLst>
        </xdr:cNvPr>
        <xdr:cNvSpPr txBox="1"/>
      </xdr:nvSpPr>
      <xdr:spPr>
        <a:xfrm>
          <a:off x="409574" y="3848098"/>
          <a:ext cx="1428751" cy="609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Przepływy pieniężne z działalności operacyjnej(w tys</a:t>
          </a:r>
          <a:r>
            <a:rPr lang="en-GB" sz="1100" baseline="0"/>
            <a:t> zł)</a:t>
          </a:r>
          <a:endParaRPr lang="en-GB" sz="1100"/>
        </a:p>
      </xdr:txBody>
    </xdr:sp>
    <xdr:clientData/>
  </xdr:twoCellAnchor>
  <xdr:twoCellAnchor editAs="absolute">
    <xdr:from>
      <xdr:col>3</xdr:col>
      <xdr:colOff>447675</xdr:colOff>
      <xdr:row>5</xdr:row>
      <xdr:rowOff>57150</xdr:rowOff>
    </xdr:from>
    <xdr:to>
      <xdr:col>4</xdr:col>
      <xdr:colOff>571500</xdr:colOff>
      <xdr:row>7</xdr:row>
      <xdr:rowOff>142875</xdr:rowOff>
    </xdr:to>
    <xdr:sp macro="" textlink="procentz">
      <xdr:nvSpPr>
        <xdr:cNvPr id="13" name="%change_z">
          <a:extLst>
            <a:ext uri="{FF2B5EF4-FFF2-40B4-BE49-F238E27FC236}">
              <a16:creationId xmlns:a16="http://schemas.microsoft.com/office/drawing/2014/main" id="{3C8A9837-C60D-EC3D-BD72-4EBD5531E098}"/>
            </a:ext>
          </a:extLst>
        </xdr:cNvPr>
        <xdr:cNvSpPr txBox="1"/>
      </xdr:nvSpPr>
      <xdr:spPr>
        <a:xfrm>
          <a:off x="3253887" y="1215537"/>
          <a:ext cx="731959" cy="46672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8546D8F-59B8-47EF-8260-6179A23B22ED}" type="TxLink">
            <a:rPr lang="en-US" sz="1100" b="0" i="0" u="none" strike="noStrike">
              <a:solidFill>
                <a:srgbClr val="FF0000"/>
              </a:solidFill>
              <a:latin typeface="Aptos Narrow"/>
            </a:rPr>
            <a:pPr algn="ctr"/>
            <a:t>-56%</a:t>
          </a:fld>
          <a:endParaRPr lang="en-GB" sz="11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3</xdr:col>
      <xdr:colOff>342901</xdr:colOff>
      <xdr:row>8</xdr:row>
      <xdr:rowOff>31505</xdr:rowOff>
    </xdr:from>
    <xdr:to>
      <xdr:col>5</xdr:col>
      <xdr:colOff>1464</xdr:colOff>
      <xdr:row>10</xdr:row>
      <xdr:rowOff>117230</xdr:rowOff>
    </xdr:to>
    <xdr:sp macro="" textlink="ocena_zysku">
      <xdr:nvSpPr>
        <xdr:cNvPr id="14" name="ocena_odchylenia_z">
          <a:extLst>
            <a:ext uri="{FF2B5EF4-FFF2-40B4-BE49-F238E27FC236}">
              <a16:creationId xmlns:a16="http://schemas.microsoft.com/office/drawing/2014/main" id="{E97D10FC-45D4-47B4-823E-C84F11E74EA0}"/>
            </a:ext>
          </a:extLst>
        </xdr:cNvPr>
        <xdr:cNvSpPr txBox="1"/>
      </xdr:nvSpPr>
      <xdr:spPr>
        <a:xfrm>
          <a:off x="3149113" y="1761392"/>
          <a:ext cx="874832" cy="46672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996C9D-CF67-45E2-AB23-881E45BE95EE}" type="TxLink">
            <a:rPr lang="en-US" sz="1100" b="0" i="0" u="none" strike="noStrike">
              <a:solidFill>
                <a:srgbClr val="00FF00"/>
              </a:solidFill>
              <a:latin typeface="Aptos Narrow"/>
            </a:rPr>
            <a:pPr algn="ctr"/>
            <a:t>W granicach normy</a:t>
          </a:fld>
          <a:endParaRPr lang="en-GB" sz="1100">
            <a:solidFill>
              <a:srgbClr val="00FF00"/>
            </a:solidFill>
          </a:endParaRPr>
        </a:p>
      </xdr:txBody>
    </xdr:sp>
    <xdr:clientData/>
  </xdr:twoCellAnchor>
  <xdr:twoCellAnchor editAs="absolute">
    <xdr:from>
      <xdr:col>3</xdr:col>
      <xdr:colOff>313911</xdr:colOff>
      <xdr:row>12</xdr:row>
      <xdr:rowOff>80755</xdr:rowOff>
    </xdr:from>
    <xdr:to>
      <xdr:col>4</xdr:col>
      <xdr:colOff>609186</xdr:colOff>
      <xdr:row>14</xdr:row>
      <xdr:rowOff>71230</xdr:rowOff>
    </xdr:to>
    <xdr:sp macro="" textlink="procenta">
      <xdr:nvSpPr>
        <xdr:cNvPr id="15" name="%change_a">
          <a:extLst>
            <a:ext uri="{FF2B5EF4-FFF2-40B4-BE49-F238E27FC236}">
              <a16:creationId xmlns:a16="http://schemas.microsoft.com/office/drawing/2014/main" id="{2D74AF27-B269-4FD3-A0BA-4D312EDAF2C8}"/>
            </a:ext>
          </a:extLst>
        </xdr:cNvPr>
        <xdr:cNvSpPr txBox="1"/>
      </xdr:nvSpPr>
      <xdr:spPr>
        <a:xfrm>
          <a:off x="3129998" y="2570093"/>
          <a:ext cx="908188" cy="37147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92F53D-D2E4-4B50-BA9D-CB246A60541E}" type="TxLink">
            <a:rPr lang="en-US" sz="1100" b="0" i="0" u="none" strike="noStrike">
              <a:solidFill>
                <a:srgbClr val="00FF00"/>
              </a:solidFill>
              <a:latin typeface="Aptos Narrow"/>
            </a:rPr>
            <a:pPr algn="ctr"/>
            <a:t>36%</a:t>
          </a:fld>
          <a:endParaRPr lang="en-GB" sz="1100">
            <a:solidFill>
              <a:srgbClr val="00FF00"/>
            </a:solidFill>
          </a:endParaRPr>
        </a:p>
      </xdr:txBody>
    </xdr:sp>
    <xdr:clientData/>
  </xdr:twoCellAnchor>
  <xdr:twoCellAnchor editAs="absolute">
    <xdr:from>
      <xdr:col>3</xdr:col>
      <xdr:colOff>292976</xdr:colOff>
      <xdr:row>15</xdr:row>
      <xdr:rowOff>26933</xdr:rowOff>
    </xdr:from>
    <xdr:to>
      <xdr:col>5</xdr:col>
      <xdr:colOff>5912</xdr:colOff>
      <xdr:row>17</xdr:row>
      <xdr:rowOff>112658</xdr:rowOff>
    </xdr:to>
    <xdr:sp macro="" textlink="ocena_aktywów">
      <xdr:nvSpPr>
        <xdr:cNvPr id="16" name="ocena_odchylenia_a">
          <a:extLst>
            <a:ext uri="{FF2B5EF4-FFF2-40B4-BE49-F238E27FC236}">
              <a16:creationId xmlns:a16="http://schemas.microsoft.com/office/drawing/2014/main" id="{29B8B192-54D6-4153-9A1A-0D5F0C0E5429}"/>
            </a:ext>
          </a:extLst>
        </xdr:cNvPr>
        <xdr:cNvSpPr txBox="1"/>
      </xdr:nvSpPr>
      <xdr:spPr>
        <a:xfrm>
          <a:off x="3104493" y="3079203"/>
          <a:ext cx="934764" cy="46672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38D030C-675C-42D7-AC3D-5E9CB5D9E3C5}" type="TxLink">
            <a:rPr lang="en-US" sz="1100" b="0" i="0" u="none" strike="noStrike">
              <a:solidFill>
                <a:srgbClr val="00FF00"/>
              </a:solidFill>
              <a:latin typeface="Aptos Narrow"/>
            </a:rPr>
            <a:pPr algn="ctr"/>
            <a:t>W granicach normy</a:t>
          </a:fld>
          <a:endParaRPr lang="en-GB" sz="1100">
            <a:solidFill>
              <a:srgbClr val="00FF00"/>
            </a:solidFill>
          </a:endParaRPr>
        </a:p>
      </xdr:txBody>
    </xdr:sp>
    <xdr:clientData/>
  </xdr:twoCellAnchor>
  <xdr:twoCellAnchor editAs="absolute">
    <xdr:from>
      <xdr:col>3</xdr:col>
      <xdr:colOff>276225</xdr:colOff>
      <xdr:row>19</xdr:row>
      <xdr:rowOff>85725</xdr:rowOff>
    </xdr:from>
    <xdr:to>
      <xdr:col>4</xdr:col>
      <xdr:colOff>571500</xdr:colOff>
      <xdr:row>21</xdr:row>
      <xdr:rowOff>76200</xdr:rowOff>
    </xdr:to>
    <xdr:sp macro="" textlink="procentpp">
      <xdr:nvSpPr>
        <xdr:cNvPr id="17" name="%change_p">
          <a:extLst>
            <a:ext uri="{FF2B5EF4-FFF2-40B4-BE49-F238E27FC236}">
              <a16:creationId xmlns:a16="http://schemas.microsoft.com/office/drawing/2014/main" id="{E5E93638-72D9-4752-851A-7289B0B3FA01}"/>
            </a:ext>
          </a:extLst>
        </xdr:cNvPr>
        <xdr:cNvSpPr txBox="1"/>
      </xdr:nvSpPr>
      <xdr:spPr>
        <a:xfrm>
          <a:off x="3086100" y="3905250"/>
          <a:ext cx="904875" cy="371475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1905F3-30D1-47E7-B2BC-EE19B7E1DFD5}" type="TxLink">
            <a:rPr lang="en-US" sz="1100" b="0" i="0" u="none" strike="noStrike">
              <a:solidFill>
                <a:srgbClr val="FF0000"/>
              </a:solidFill>
              <a:latin typeface="Aptos Narrow"/>
            </a:rPr>
            <a:pPr algn="ctr"/>
            <a:t>1%</a:t>
          </a:fld>
          <a:endParaRPr lang="en-GB" sz="1100">
            <a:solidFill>
              <a:srgbClr val="FF0000"/>
            </a:solidFill>
          </a:endParaRPr>
        </a:p>
      </xdr:txBody>
    </xdr:sp>
    <xdr:clientData/>
  </xdr:twoCellAnchor>
  <xdr:twoCellAnchor editAs="absolute">
    <xdr:from>
      <xdr:col>3</xdr:col>
      <xdr:colOff>179990</xdr:colOff>
      <xdr:row>21</xdr:row>
      <xdr:rowOff>180318</xdr:rowOff>
    </xdr:from>
    <xdr:to>
      <xdr:col>5</xdr:col>
      <xdr:colOff>16751</xdr:colOff>
      <xdr:row>24</xdr:row>
      <xdr:rowOff>46968</xdr:rowOff>
    </xdr:to>
    <xdr:sp macro="" textlink="ocena_przepływów">
      <xdr:nvSpPr>
        <xdr:cNvPr id="18" name="ocena_odchylenia_p">
          <a:extLst>
            <a:ext uri="{FF2B5EF4-FFF2-40B4-BE49-F238E27FC236}">
              <a16:creationId xmlns:a16="http://schemas.microsoft.com/office/drawing/2014/main" id="{6610B800-1DAC-42B5-B5F1-1C3CD57F415E}"/>
            </a:ext>
          </a:extLst>
        </xdr:cNvPr>
        <xdr:cNvSpPr txBox="1"/>
      </xdr:nvSpPr>
      <xdr:spPr>
        <a:xfrm>
          <a:off x="2991507" y="4375588"/>
          <a:ext cx="1058589" cy="438150"/>
        </a:xfrm>
        <a:prstGeom prst="rect">
          <a:avLst/>
        </a:prstGeom>
        <a:solidFill>
          <a:srgbClr val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74431D-B0DE-4151-B950-A49A3C07328E}" type="TxLink">
            <a:rPr lang="en-US" sz="1100" b="0" i="0" u="none" strike="noStrike">
              <a:solidFill>
                <a:srgbClr val="00FF00"/>
              </a:solidFill>
              <a:latin typeface="Aptos Narrow"/>
            </a:rPr>
            <a:pPr algn="ctr"/>
            <a:t>W granicach normy</a:t>
          </a:fld>
          <a:endParaRPr lang="en-GB" sz="1100">
            <a:solidFill>
              <a:srgbClr val="00FF00"/>
            </a:solidFill>
          </a:endParaRPr>
        </a:p>
      </xdr:txBody>
    </xdr:sp>
    <xdr:clientData/>
  </xdr:twoCellAnchor>
  <xdr:twoCellAnchor editAs="absolute">
    <xdr:from>
      <xdr:col>2</xdr:col>
      <xdr:colOff>740753</xdr:colOff>
      <xdr:row>8</xdr:row>
      <xdr:rowOff>11723</xdr:rowOff>
    </xdr:from>
    <xdr:to>
      <xdr:col>3</xdr:col>
      <xdr:colOff>397852</xdr:colOff>
      <xdr:row>10</xdr:row>
      <xdr:rowOff>126023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5932E2DA-4B54-13AD-2749-147CC47F2C97}"/>
            </a:ext>
          </a:extLst>
        </xdr:cNvPr>
        <xdr:cNvSpPr txBox="1"/>
      </xdr:nvSpPr>
      <xdr:spPr>
        <a:xfrm>
          <a:off x="1957022" y="1741610"/>
          <a:ext cx="1247042" cy="495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Odchylenie</a:t>
          </a:r>
        </a:p>
      </xdr:txBody>
    </xdr:sp>
    <xdr:clientData/>
  </xdr:twoCellAnchor>
  <xdr:twoCellAnchor editAs="absolute">
    <xdr:from>
      <xdr:col>2</xdr:col>
      <xdr:colOff>801742</xdr:colOff>
      <xdr:row>15</xdr:row>
      <xdr:rowOff>128751</xdr:rowOff>
    </xdr:from>
    <xdr:to>
      <xdr:col>3</xdr:col>
      <xdr:colOff>182617</xdr:colOff>
      <xdr:row>17</xdr:row>
      <xdr:rowOff>14451</xdr:rowOff>
    </xdr:to>
    <xdr:sp macro="" textlink="">
      <xdr:nvSpPr>
        <xdr:cNvPr id="55" name="TextBox 10">
          <a:extLst>
            <a:ext uri="{FF2B5EF4-FFF2-40B4-BE49-F238E27FC236}">
              <a16:creationId xmlns:a16="http://schemas.microsoft.com/office/drawing/2014/main" id="{352BD37A-984A-4550-B2B1-F48FCDB893B3}"/>
            </a:ext>
            <a:ext uri="{147F2762-F138-4A5C-976F-8EAC2B608ADB}">
              <a16:predDERef xmlns:a16="http://schemas.microsoft.com/office/drawing/2014/main" pred="{5932E2DA-4B54-13AD-2749-147CC47F2C97}"/>
            </a:ext>
          </a:extLst>
        </xdr:cNvPr>
        <xdr:cNvSpPr txBox="1"/>
      </xdr:nvSpPr>
      <xdr:spPr>
        <a:xfrm>
          <a:off x="2020942" y="3186276"/>
          <a:ext cx="9715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100" b="0" i="0" u="none" strike="noStrike">
              <a:solidFill>
                <a:schemeClr val="dk1"/>
              </a:solidFill>
              <a:latin typeface="Aptos Narrow" panose="020B0004020202020204" pitchFamily="34" charset="0"/>
            </a:rPr>
            <a:t>Odchylenie</a:t>
          </a:r>
          <a:endParaRPr lang="en-US" sz="1100" b="0" i="0" u="none" strike="noStrike">
            <a:solidFill>
              <a:schemeClr val="dk1"/>
            </a:solidFill>
            <a:latin typeface="+mn-lt"/>
            <a:ea typeface="+mn-lt"/>
            <a:cs typeface="+mn-lt"/>
          </a:endParaRPr>
        </a:p>
        <a:p>
          <a:pPr marL="0" indent="0" algn="ctr"/>
          <a:endParaRPr lang="en-US" sz="1100">
            <a:solidFill>
              <a:schemeClr val="dk1"/>
            </a:solidFill>
            <a:latin typeface="+mn-lt"/>
            <a:ea typeface="+mn-lt"/>
            <a:cs typeface="+mn-lt"/>
          </a:endParaRPr>
        </a:p>
      </xdr:txBody>
    </xdr:sp>
    <xdr:clientData/>
  </xdr:twoCellAnchor>
  <xdr:twoCellAnchor editAs="absolute">
    <xdr:from>
      <xdr:col>2</xdr:col>
      <xdr:colOff>790575</xdr:colOff>
      <xdr:row>22</xdr:row>
      <xdr:rowOff>114300</xdr:rowOff>
    </xdr:from>
    <xdr:to>
      <xdr:col>3</xdr:col>
      <xdr:colOff>171450</xdr:colOff>
      <xdr:row>24</xdr:row>
      <xdr:rowOff>0</xdr:rowOff>
    </xdr:to>
    <xdr:sp macro="" textlink="">
      <xdr:nvSpPr>
        <xdr:cNvPr id="62" name="TextBox 18">
          <a:extLst>
            <a:ext uri="{FF2B5EF4-FFF2-40B4-BE49-F238E27FC236}">
              <a16:creationId xmlns:a16="http://schemas.microsoft.com/office/drawing/2014/main" id="{9C299FFE-8203-469E-BD1A-D07A198A4047}"/>
            </a:ext>
            <a:ext uri="{147F2762-F138-4A5C-976F-8EAC2B608ADB}">
              <a16:predDERef xmlns:a16="http://schemas.microsoft.com/office/drawing/2014/main" pred="{352BD37A-984A-4550-B2B1-F48FCDB893B3}"/>
            </a:ext>
          </a:extLst>
        </xdr:cNvPr>
        <xdr:cNvSpPr txBox="1"/>
      </xdr:nvSpPr>
      <xdr:spPr>
        <a:xfrm>
          <a:off x="2009775" y="4505325"/>
          <a:ext cx="971550" cy="2667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en-US" sz="1100" b="0" i="0" u="none" strike="noStrike">
              <a:solidFill>
                <a:schemeClr val="dk1"/>
              </a:solidFill>
              <a:latin typeface="Aptos Narrow" panose="020B0004020202020204" pitchFamily="34" charset="0"/>
            </a:rPr>
            <a:t>Odchylenie</a:t>
          </a:r>
        </a:p>
      </xdr:txBody>
    </xdr:sp>
    <xdr:clientData/>
  </xdr:twoCellAnchor>
  <xdr:twoCellAnchor editAs="absolute">
    <xdr:from>
      <xdr:col>2</xdr:col>
      <xdr:colOff>735621</xdr:colOff>
      <xdr:row>5</xdr:row>
      <xdr:rowOff>62279</xdr:rowOff>
    </xdr:from>
    <xdr:to>
      <xdr:col>3</xdr:col>
      <xdr:colOff>373673</xdr:colOff>
      <xdr:row>7</xdr:row>
      <xdr:rowOff>176579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D3F8A316-5981-D6E0-F8F7-F3F6F0F3F375}"/>
            </a:ext>
          </a:extLst>
        </xdr:cNvPr>
        <xdr:cNvSpPr txBox="1"/>
      </xdr:nvSpPr>
      <xdr:spPr>
        <a:xfrm>
          <a:off x="1951890" y="1220666"/>
          <a:ext cx="1227995" cy="4953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GB" sz="1100"/>
            <a:t>Zmiana </a:t>
          </a:r>
          <a:r>
            <a:rPr lang="en-GB" sz="1100">
              <a:ln>
                <a:noFill/>
              </a:ln>
              <a:solidFill>
                <a:schemeClr val="dk1"/>
              </a:solidFill>
              <a:latin typeface="+mn-lt"/>
              <a:ea typeface="+mn-ea"/>
              <a:cs typeface="+mn-cs"/>
            </a:rPr>
            <a:t>procentowa</a:t>
          </a:r>
          <a:r>
            <a:rPr lang="en-GB" sz="1100"/>
            <a:t> </a:t>
          </a:r>
        </a:p>
      </xdr:txBody>
    </xdr:sp>
    <xdr:clientData/>
  </xdr:twoCellAnchor>
  <xdr:twoCellAnchor editAs="absolute">
    <xdr:from>
      <xdr:col>2</xdr:col>
      <xdr:colOff>742890</xdr:colOff>
      <xdr:row>12</xdr:row>
      <xdr:rowOff>61420</xdr:rowOff>
    </xdr:from>
    <xdr:to>
      <xdr:col>3</xdr:col>
      <xdr:colOff>304743</xdr:colOff>
      <xdr:row>14</xdr:row>
      <xdr:rowOff>129610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BA9223EF-1BE1-FCB0-37E7-3E3A77D9CD9C}"/>
            </a:ext>
          </a:extLst>
        </xdr:cNvPr>
        <xdr:cNvSpPr txBox="1"/>
      </xdr:nvSpPr>
      <xdr:spPr>
        <a:xfrm>
          <a:off x="1964718" y="2542190"/>
          <a:ext cx="1151542" cy="4491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>
              <a:solidFill>
                <a:schemeClr val="dk1"/>
              </a:solidFill>
              <a:latin typeface="+mn-lt"/>
              <a:ea typeface="+mn-ea"/>
              <a:cs typeface="+mn-cs"/>
            </a:rPr>
            <a:t>Zmiana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procentowa </a:t>
          </a:r>
          <a:endParaRPr lang="en-GB">
            <a:effectLst/>
          </a:endParaRPr>
        </a:p>
        <a:p>
          <a:endParaRPr lang="en-GB" sz="1100"/>
        </a:p>
      </xdr:txBody>
    </xdr:sp>
    <xdr:clientData/>
  </xdr:twoCellAnchor>
  <xdr:twoCellAnchor editAs="absolute">
    <xdr:from>
      <xdr:col>2</xdr:col>
      <xdr:colOff>826119</xdr:colOff>
      <xdr:row>19</xdr:row>
      <xdr:rowOff>42541</xdr:rowOff>
    </xdr:from>
    <xdr:to>
      <xdr:col>3</xdr:col>
      <xdr:colOff>102221</xdr:colOff>
      <xdr:row>21</xdr:row>
      <xdr:rowOff>100834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765B3E3F-3D81-5527-C017-08890680A3A0}"/>
            </a:ext>
          </a:extLst>
        </xdr:cNvPr>
        <xdr:cNvSpPr txBox="1"/>
      </xdr:nvSpPr>
      <xdr:spPr>
        <a:xfrm>
          <a:off x="2047947" y="3856811"/>
          <a:ext cx="865791" cy="43929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Zmiana procentowa </a:t>
          </a:r>
          <a:endParaRPr lang="en-GB">
            <a:effectLst/>
          </a:endParaRPr>
        </a:p>
        <a:p>
          <a:endParaRPr lang="en-GB" sz="1100"/>
        </a:p>
      </xdr:txBody>
    </xdr:sp>
    <xdr:clientData/>
  </xdr:twoCellAnchor>
  <xdr:twoCellAnchor editAs="absolute">
    <xdr:from>
      <xdr:col>2</xdr:col>
      <xdr:colOff>772194</xdr:colOff>
      <xdr:row>5</xdr:row>
      <xdr:rowOff>38428</xdr:rowOff>
    </xdr:from>
    <xdr:to>
      <xdr:col>2</xdr:col>
      <xdr:colOff>793328</xdr:colOff>
      <xdr:row>10</xdr:row>
      <xdr:rowOff>148673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A042F884-CEB8-EEFF-2AF5-4E5C14340281}"/>
            </a:ext>
          </a:extLst>
        </xdr:cNvPr>
        <xdr:cNvCxnSpPr/>
      </xdr:nvCxnSpPr>
      <xdr:spPr>
        <a:xfrm flipH="1">
          <a:off x="1988463" y="1196815"/>
          <a:ext cx="21134" cy="106274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772864</xdr:colOff>
      <xdr:row>8</xdr:row>
      <xdr:rowOff>2564</xdr:rowOff>
    </xdr:from>
    <xdr:to>
      <xdr:col>5</xdr:col>
      <xdr:colOff>35170</xdr:colOff>
      <xdr:row>8</xdr:row>
      <xdr:rowOff>6341</xdr:rowOff>
    </xdr:to>
    <xdr:cxnSp macro="">
      <xdr:nvCxnSpPr>
        <xdr:cNvPr id="26" name="Straight Connector 25">
          <a:extLst>
            <a:ext uri="{FF2B5EF4-FFF2-40B4-BE49-F238E27FC236}">
              <a16:creationId xmlns:a16="http://schemas.microsoft.com/office/drawing/2014/main" id="{3A80A3C9-469F-28DC-9727-E139800CD8D9}"/>
            </a:ext>
          </a:extLst>
        </xdr:cNvPr>
        <xdr:cNvCxnSpPr>
          <a:endCxn id="2" idx="3"/>
        </xdr:cNvCxnSpPr>
      </xdr:nvCxnSpPr>
      <xdr:spPr>
        <a:xfrm flipV="1">
          <a:off x="1989133" y="1732451"/>
          <a:ext cx="2068518" cy="3777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723900</xdr:colOff>
      <xdr:row>12</xdr:row>
      <xdr:rowOff>0</xdr:rowOff>
    </xdr:from>
    <xdr:to>
      <xdr:col>2</xdr:col>
      <xdr:colOff>740019</xdr:colOff>
      <xdr:row>17</xdr:row>
      <xdr:rowOff>133350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543E130E-6F58-43D6-A7D2-49E3BCCCEF1E}"/>
            </a:ext>
          </a:extLst>
        </xdr:cNvPr>
        <xdr:cNvCxnSpPr/>
      </xdr:nvCxnSpPr>
      <xdr:spPr>
        <a:xfrm flipH="1">
          <a:off x="1940169" y="2483827"/>
          <a:ext cx="16119" cy="108585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735724</xdr:colOff>
      <xdr:row>14</xdr:row>
      <xdr:rowOff>166852</xdr:rowOff>
    </xdr:from>
    <xdr:to>
      <xdr:col>5</xdr:col>
      <xdr:colOff>44669</xdr:colOff>
      <xdr:row>14</xdr:row>
      <xdr:rowOff>177362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E915B4C3-BF68-4642-949C-16E41599DAF6}"/>
            </a:ext>
          </a:extLst>
        </xdr:cNvPr>
        <xdr:cNvCxnSpPr/>
      </xdr:nvCxnSpPr>
      <xdr:spPr>
        <a:xfrm flipV="1">
          <a:off x="1957552" y="3030921"/>
          <a:ext cx="2120462" cy="1051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713014</xdr:colOff>
      <xdr:row>21</xdr:row>
      <xdr:rowOff>148318</xdr:rowOff>
    </xdr:from>
    <xdr:to>
      <xdr:col>5</xdr:col>
      <xdr:colOff>50581</xdr:colOff>
      <xdr:row>21</xdr:row>
      <xdr:rowOff>150758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EEDD0254-F568-47F6-9BD8-4730265A5C9E}"/>
            </a:ext>
          </a:extLst>
        </xdr:cNvPr>
        <xdr:cNvCxnSpPr/>
      </xdr:nvCxnSpPr>
      <xdr:spPr>
        <a:xfrm>
          <a:off x="1932214" y="4348843"/>
          <a:ext cx="2146081" cy="2440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700768</xdr:colOff>
      <xdr:row>19</xdr:row>
      <xdr:rowOff>19050</xdr:rowOff>
    </xdr:from>
    <xdr:to>
      <xdr:col>2</xdr:col>
      <xdr:colOff>719818</xdr:colOff>
      <xdr:row>24</xdr:row>
      <xdr:rowOff>142875</xdr:rowOff>
    </xdr:to>
    <xdr:cxnSp macro="">
      <xdr:nvCxnSpPr>
        <xdr:cNvPr id="36" name="Straight Connector 35">
          <a:extLst>
            <a:ext uri="{FF2B5EF4-FFF2-40B4-BE49-F238E27FC236}">
              <a16:creationId xmlns:a16="http://schemas.microsoft.com/office/drawing/2014/main" id="{8D8515BD-1CA0-4513-AACD-6E3B7B23D890}"/>
            </a:ext>
          </a:extLst>
        </xdr:cNvPr>
        <xdr:cNvCxnSpPr/>
      </xdr:nvCxnSpPr>
      <xdr:spPr>
        <a:xfrm flipH="1">
          <a:off x="1919968" y="3838575"/>
          <a:ext cx="19050" cy="10763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7</xdr:col>
      <xdr:colOff>495300</xdr:colOff>
      <xdr:row>24</xdr:row>
      <xdr:rowOff>142875</xdr:rowOff>
    </xdr:from>
    <xdr:to>
      <xdr:col>8</xdr:col>
      <xdr:colOff>495300</xdr:colOff>
      <xdr:row>34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4C94D45-B99D-49D1-94D9-D5D783AACA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9</xdr:col>
      <xdr:colOff>1057273</xdr:colOff>
      <xdr:row>24</xdr:row>
      <xdr:rowOff>171451</xdr:rowOff>
    </xdr:from>
    <xdr:to>
      <xdr:col>10</xdr:col>
      <xdr:colOff>2667000</xdr:colOff>
      <xdr:row>34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55AE3F5-52A2-4991-9981-55BFCFB22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25</xdr:row>
      <xdr:rowOff>9525</xdr:rowOff>
    </xdr:from>
    <xdr:to>
      <xdr:col>7</xdr:col>
      <xdr:colOff>619125</xdr:colOff>
      <xdr:row>34</xdr:row>
      <xdr:rowOff>85725</xdr:rowOff>
    </xdr:to>
    <xdr:graphicFrame macro="">
      <xdr:nvGraphicFramePr>
        <xdr:cNvPr id="60" name="Chart 22">
          <a:extLst>
            <a:ext uri="{FF2B5EF4-FFF2-40B4-BE49-F238E27FC236}">
              <a16:creationId xmlns:a16="http://schemas.microsoft.com/office/drawing/2014/main" id="{E676660B-AF72-41A9-BC03-B80C73901ABC}"/>
            </a:ext>
            <a:ext uri="{147F2762-F138-4A5C-976F-8EAC2B608ADB}">
              <a16:predDERef xmlns:a16="http://schemas.microsoft.com/office/drawing/2014/main" pred="{F55AE3F5-52A2-4991-9981-55BFCFB220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266699</xdr:colOff>
      <xdr:row>5</xdr:row>
      <xdr:rowOff>9525</xdr:rowOff>
    </xdr:from>
    <xdr:to>
      <xdr:col>8</xdr:col>
      <xdr:colOff>466724</xdr:colOff>
      <xdr:row>24</xdr:row>
      <xdr:rowOff>9525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28580736-DFF6-4996-8428-7E455DE35A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9</xdr:col>
      <xdr:colOff>95250</xdr:colOff>
      <xdr:row>5</xdr:row>
      <xdr:rowOff>28575</xdr:rowOff>
    </xdr:from>
    <xdr:to>
      <xdr:col>10</xdr:col>
      <xdr:colOff>3400425</xdr:colOff>
      <xdr:row>23</xdr:row>
      <xdr:rowOff>133350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324756DD-803F-46BB-9938-435D1142CA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</xdr:row>
      <xdr:rowOff>190500</xdr:rowOff>
    </xdr:from>
    <xdr:to>
      <xdr:col>9</xdr:col>
      <xdr:colOff>28575</xdr:colOff>
      <xdr:row>25</xdr:row>
      <xdr:rowOff>76200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F20D1109-EA30-8548-9AE2-69F7464E3880}"/>
            </a:ext>
          </a:extLst>
        </xdr:cNvPr>
        <xdr:cNvCxnSpPr/>
      </xdr:nvCxnSpPr>
      <xdr:spPr>
        <a:xfrm>
          <a:off x="10706100" y="381000"/>
          <a:ext cx="28575" cy="46577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19050</xdr:colOff>
      <xdr:row>25</xdr:row>
      <xdr:rowOff>66675</xdr:rowOff>
    </xdr:from>
    <xdr:to>
      <xdr:col>16</xdr:col>
      <xdr:colOff>9525</xdr:colOff>
      <xdr:row>25</xdr:row>
      <xdr:rowOff>76200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2258EFDA-E90C-8305-8F18-ACD51D0ECB93}"/>
            </a:ext>
          </a:extLst>
        </xdr:cNvPr>
        <xdr:cNvCxnSpPr/>
      </xdr:nvCxnSpPr>
      <xdr:spPr>
        <a:xfrm flipV="1">
          <a:off x="19050" y="5029200"/>
          <a:ext cx="20745450" cy="9525"/>
        </a:xfrm>
        <a:prstGeom prst="line">
          <a:avLst/>
        </a:prstGeom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0</xdr:colOff>
      <xdr:row>59</xdr:row>
      <xdr:rowOff>0</xdr:rowOff>
    </xdr:from>
    <xdr:to>
      <xdr:col>33</xdr:col>
      <xdr:colOff>609598</xdr:colOff>
      <xdr:row>78</xdr:row>
      <xdr:rowOff>95251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2DFDD0-9188-4F53-AE7F-0C5767EAEF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8094C2DE6520367A/Documents/kopie%20waznych%20rzeczy.xlsx" TargetMode="External"/><Relationship Id="rId1" Type="http://schemas.openxmlformats.org/officeDocument/2006/relationships/externalLinkPath" Target="kopie%20waznych%20rzeczy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ozef\Documents\EXCEL\Projekt.xlsx" TargetMode="External"/><Relationship Id="rId1" Type="http://schemas.openxmlformats.org/officeDocument/2006/relationships/externalLinkPath" Target="file:///C:\Users\jozef\Documents\EXCEL\Projek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Wskaźniki roczne"/>
      <sheetName val="BR Rpp_Orlen"/>
      <sheetName val="BR Bilans"/>
      <sheetName val="BR RZiS"/>
      <sheetName val="BR Bilans Q S"/>
      <sheetName val="BR RZiS Q -S"/>
      <sheetName val="Testowy"/>
      <sheetName val="Data Validation #2"/>
      <sheetName val="Dane Makro"/>
      <sheetName val="BR RPP Q S"/>
      <sheetName val="Wskaźniki kwartalne"/>
      <sheetName val="kopie waznych rzeczy"/>
    </sheetNames>
    <sheetDataSet>
      <sheetData sheetId="0" refreshError="1"/>
      <sheetData sheetId="1">
        <row r="2">
          <cell r="C2">
            <v>1350392</v>
          </cell>
        </row>
        <row r="3">
          <cell r="C3">
            <v>1779944</v>
          </cell>
        </row>
        <row r="4">
          <cell r="C4">
            <v>2108127</v>
          </cell>
        </row>
        <row r="5">
          <cell r="C5">
            <v>2431423</v>
          </cell>
        </row>
        <row r="6">
          <cell r="C6">
            <v>2491383</v>
          </cell>
        </row>
        <row r="7">
          <cell r="C7">
            <v>2567646</v>
          </cell>
        </row>
        <row r="8">
          <cell r="C8">
            <v>2422747</v>
          </cell>
        </row>
        <row r="9">
          <cell r="C9">
            <v>2379948</v>
          </cell>
        </row>
        <row r="10">
          <cell r="C10">
            <v>2260122</v>
          </cell>
        </row>
        <row r="11">
          <cell r="C11">
            <v>2170000</v>
          </cell>
        </row>
        <row r="12">
          <cell r="C12">
            <v>1991000</v>
          </cell>
        </row>
        <row r="13">
          <cell r="C13">
            <v>1895000</v>
          </cell>
        </row>
        <row r="14">
          <cell r="C14">
            <v>2110000</v>
          </cell>
        </row>
        <row r="15">
          <cell r="C15">
            <v>2421000</v>
          </cell>
        </row>
        <row r="16">
          <cell r="C16">
            <v>2673000</v>
          </cell>
        </row>
        <row r="17">
          <cell r="C17">
            <v>3506000</v>
          </cell>
        </row>
        <row r="18">
          <cell r="C18">
            <v>4537000</v>
          </cell>
        </row>
        <row r="19">
          <cell r="C19">
            <v>5341000</v>
          </cell>
        </row>
        <row r="20">
          <cell r="C20">
            <v>6946000</v>
          </cell>
        </row>
        <row r="21">
          <cell r="C21">
            <v>14200000</v>
          </cell>
        </row>
        <row r="22">
          <cell r="C22">
            <v>13936000</v>
          </cell>
        </row>
      </sheetData>
      <sheetData sheetId="2">
        <row r="1">
          <cell r="A1" t="str">
            <v>Rok</v>
          </cell>
        </row>
        <row r="2">
          <cell r="A2">
            <v>2004</v>
          </cell>
          <cell r="J2">
            <v>7921660</v>
          </cell>
          <cell r="K2">
            <v>3200982</v>
          </cell>
          <cell r="L2">
            <v>2604092</v>
          </cell>
          <cell r="N2">
            <v>729498</v>
          </cell>
          <cell r="Q2">
            <v>20869475</v>
          </cell>
          <cell r="R2">
            <v>13191608</v>
          </cell>
          <cell r="V2">
            <v>439706</v>
          </cell>
          <cell r="W2">
            <v>3237711</v>
          </cell>
          <cell r="AC2">
            <v>4000450</v>
          </cell>
          <cell r="AI2">
            <v>0</v>
          </cell>
        </row>
        <row r="3">
          <cell r="A3">
            <v>2005</v>
          </cell>
          <cell r="J3">
            <v>12518779</v>
          </cell>
          <cell r="K3">
            <v>6113237</v>
          </cell>
          <cell r="L3">
            <v>4827205</v>
          </cell>
          <cell r="N3">
            <v>1126803</v>
          </cell>
          <cell r="Q3">
            <v>33404311</v>
          </cell>
          <cell r="R3">
            <v>16671837</v>
          </cell>
          <cell r="V3">
            <v>2641152</v>
          </cell>
          <cell r="W3">
            <v>5553853</v>
          </cell>
          <cell r="AC3">
            <v>8537469</v>
          </cell>
          <cell r="AI3">
            <v>0</v>
          </cell>
        </row>
        <row r="4">
          <cell r="A4">
            <v>2006</v>
          </cell>
          <cell r="J4">
            <v>17758286</v>
          </cell>
          <cell r="K4">
            <v>7398856</v>
          </cell>
          <cell r="L4">
            <v>6546713</v>
          </cell>
          <cell r="N4">
            <v>2351320</v>
          </cell>
          <cell r="Q4">
            <v>45419084</v>
          </cell>
          <cell r="R4">
            <v>18850940</v>
          </cell>
          <cell r="V4">
            <v>2731623</v>
          </cell>
          <cell r="W4">
            <v>8958143</v>
          </cell>
          <cell r="AC4">
            <v>14878378</v>
          </cell>
          <cell r="AI4">
            <v>0</v>
          </cell>
        </row>
        <row r="5">
          <cell r="A5">
            <v>2007</v>
          </cell>
          <cell r="J5">
            <v>19366488</v>
          </cell>
          <cell r="K5">
            <v>10365409</v>
          </cell>
          <cell r="L5">
            <v>6999836</v>
          </cell>
          <cell r="N5">
            <v>1498232</v>
          </cell>
          <cell r="Q5">
            <v>46102825</v>
          </cell>
          <cell r="R5">
            <v>19935335</v>
          </cell>
          <cell r="V5">
            <v>2637425</v>
          </cell>
          <cell r="W5">
            <v>11091402</v>
          </cell>
          <cell r="AC5">
            <v>12438663</v>
          </cell>
          <cell r="AI5">
            <v>0</v>
          </cell>
        </row>
        <row r="6">
          <cell r="A6">
            <v>2008</v>
          </cell>
          <cell r="J6">
            <v>17694894</v>
          </cell>
          <cell r="K6">
            <v>9089047</v>
          </cell>
          <cell r="L6">
            <v>6748216</v>
          </cell>
          <cell r="N6">
            <v>1344224</v>
          </cell>
          <cell r="Q6">
            <v>46975750</v>
          </cell>
          <cell r="R6">
            <v>17813091</v>
          </cell>
          <cell r="V6">
            <v>2718556</v>
          </cell>
          <cell r="W6">
            <v>4634178</v>
          </cell>
          <cell r="AC6">
            <v>21809925</v>
          </cell>
          <cell r="AI6">
            <v>0</v>
          </cell>
        </row>
        <row r="7">
          <cell r="A7">
            <v>2009</v>
          </cell>
          <cell r="J7">
            <v>19433046</v>
          </cell>
          <cell r="K7">
            <v>10619859</v>
          </cell>
          <cell r="L7">
            <v>5451518</v>
          </cell>
          <cell r="N7">
            <v>2941039</v>
          </cell>
          <cell r="Q7">
            <v>49088070</v>
          </cell>
          <cell r="R7">
            <v>19037903</v>
          </cell>
          <cell r="V7">
            <v>2669308</v>
          </cell>
          <cell r="W7">
            <v>13223343</v>
          </cell>
          <cell r="AC7">
            <v>14157516</v>
          </cell>
          <cell r="AI7">
            <v>0</v>
          </cell>
        </row>
        <row r="8">
          <cell r="A8">
            <v>2010</v>
          </cell>
          <cell r="J8">
            <v>20718918</v>
          </cell>
          <cell r="K8">
            <v>11294851</v>
          </cell>
          <cell r="L8">
            <v>6337075</v>
          </cell>
          <cell r="N8">
            <v>2820742</v>
          </cell>
          <cell r="Q8">
            <v>51149792</v>
          </cell>
          <cell r="R8">
            <v>21627938</v>
          </cell>
          <cell r="V8">
            <v>2612015</v>
          </cell>
          <cell r="W8">
            <v>10667861</v>
          </cell>
          <cell r="AC8">
            <v>16241978</v>
          </cell>
          <cell r="AI8">
            <v>0</v>
          </cell>
        </row>
        <row r="9">
          <cell r="A9">
            <v>2011</v>
          </cell>
          <cell r="J9">
            <v>30132337</v>
          </cell>
          <cell r="K9">
            <v>16296517</v>
          </cell>
          <cell r="L9">
            <v>8104695</v>
          </cell>
          <cell r="N9">
            <v>5409166</v>
          </cell>
          <cell r="Q9">
            <v>58731478</v>
          </cell>
          <cell r="R9">
            <v>24533773</v>
          </cell>
          <cell r="V9">
            <v>2264910</v>
          </cell>
          <cell r="W9">
            <v>12120002</v>
          </cell>
          <cell r="AC9">
            <v>19812793</v>
          </cell>
          <cell r="AI9">
            <v>0</v>
          </cell>
        </row>
        <row r="10">
          <cell r="A10">
            <v>2012</v>
          </cell>
          <cell r="J10">
            <v>25820143</v>
          </cell>
          <cell r="K10">
            <v>15011047</v>
          </cell>
          <cell r="L10">
            <v>8164927</v>
          </cell>
          <cell r="N10">
            <v>2211425</v>
          </cell>
          <cell r="Q10">
            <v>52630780</v>
          </cell>
          <cell r="R10">
            <v>26479187</v>
          </cell>
          <cell r="V10">
            <v>1827646</v>
          </cell>
          <cell r="W10">
            <v>9196658</v>
          </cell>
          <cell r="AC10">
            <v>15127289</v>
          </cell>
          <cell r="AI10">
            <v>0</v>
          </cell>
        </row>
        <row r="11">
          <cell r="A11">
            <v>2013</v>
          </cell>
          <cell r="J11">
            <v>24445000</v>
          </cell>
          <cell r="K11">
            <v>13749000</v>
          </cell>
          <cell r="L11">
            <v>7827000</v>
          </cell>
          <cell r="N11">
            <v>2893000</v>
          </cell>
          <cell r="Q11">
            <v>51352000</v>
          </cell>
          <cell r="R11">
            <v>25948000</v>
          </cell>
          <cell r="V11">
            <v>1603000</v>
          </cell>
          <cell r="W11">
            <v>7846000</v>
          </cell>
          <cell r="AC11">
            <v>15955000</v>
          </cell>
          <cell r="AI11">
            <v>0</v>
          </cell>
        </row>
        <row r="12">
          <cell r="A12">
            <v>2014</v>
          </cell>
          <cell r="J12">
            <v>21754000</v>
          </cell>
          <cell r="K12">
            <v>9829000</v>
          </cell>
          <cell r="L12">
            <v>7092000</v>
          </cell>
          <cell r="N12">
            <v>3937000</v>
          </cell>
          <cell r="Q12">
            <v>46725000</v>
          </cell>
          <cell r="R12">
            <v>18771000</v>
          </cell>
          <cell r="V12">
            <v>1615000</v>
          </cell>
          <cell r="W12">
            <v>12305000</v>
          </cell>
          <cell r="AC12">
            <v>14034000</v>
          </cell>
          <cell r="AI12">
            <v>0</v>
          </cell>
        </row>
        <row r="13">
          <cell r="A13">
            <v>2015</v>
          </cell>
          <cell r="J13">
            <v>20775000</v>
          </cell>
          <cell r="K13">
            <v>10715000</v>
          </cell>
          <cell r="L13">
            <v>6641000</v>
          </cell>
          <cell r="N13">
            <v>2348000</v>
          </cell>
          <cell r="Q13">
            <v>48137000</v>
          </cell>
          <cell r="R13">
            <v>22173000</v>
          </cell>
          <cell r="V13">
            <v>2071000</v>
          </cell>
          <cell r="W13">
            <v>10227000</v>
          </cell>
          <cell r="AC13">
            <v>13666000</v>
          </cell>
          <cell r="AI13">
            <v>0</v>
          </cell>
        </row>
        <row r="14">
          <cell r="A14">
            <v>2016</v>
          </cell>
          <cell r="J14">
            <v>25238000</v>
          </cell>
          <cell r="K14">
            <v>11182000</v>
          </cell>
          <cell r="L14">
            <v>8674000</v>
          </cell>
          <cell r="N14">
            <v>5072000</v>
          </cell>
          <cell r="Q14">
            <v>55559000</v>
          </cell>
          <cell r="R14">
            <v>26764000</v>
          </cell>
          <cell r="V14">
            <v>2522000</v>
          </cell>
          <cell r="W14">
            <v>9652000</v>
          </cell>
          <cell r="AC14">
            <v>16621000</v>
          </cell>
          <cell r="AI14">
            <v>0</v>
          </cell>
        </row>
        <row r="15">
          <cell r="A15">
            <v>2017</v>
          </cell>
          <cell r="J15">
            <v>28924000</v>
          </cell>
          <cell r="K15">
            <v>12440000</v>
          </cell>
          <cell r="L15">
            <v>9598000</v>
          </cell>
          <cell r="N15">
            <v>6244000</v>
          </cell>
          <cell r="Q15">
            <v>60664000</v>
          </cell>
          <cell r="R15">
            <v>32197000</v>
          </cell>
          <cell r="V15">
            <v>3014000</v>
          </cell>
          <cell r="W15">
            <v>9071000</v>
          </cell>
          <cell r="AC15">
            <v>16382000</v>
          </cell>
          <cell r="AI15">
            <v>0</v>
          </cell>
        </row>
        <row r="16">
          <cell r="A16">
            <v>2018</v>
          </cell>
          <cell r="J16">
            <v>30164000</v>
          </cell>
          <cell r="K16">
            <v>14317000</v>
          </cell>
          <cell r="L16">
            <v>10593000</v>
          </cell>
          <cell r="N16">
            <v>4192000</v>
          </cell>
          <cell r="Q16">
            <v>64031000</v>
          </cell>
          <cell r="R16">
            <v>35634000</v>
          </cell>
          <cell r="V16">
            <v>12000</v>
          </cell>
          <cell r="W16">
            <v>11487000</v>
          </cell>
          <cell r="AC16">
            <v>16898000</v>
          </cell>
          <cell r="AI16">
            <v>0</v>
          </cell>
        </row>
        <row r="17">
          <cell r="A17">
            <v>2019</v>
          </cell>
          <cell r="J17">
            <v>31925000</v>
          </cell>
          <cell r="K17">
            <v>15074000</v>
          </cell>
          <cell r="L17">
            <v>9945000</v>
          </cell>
          <cell r="N17">
            <v>6159000</v>
          </cell>
          <cell r="Q17">
            <v>71202000</v>
          </cell>
          <cell r="R17">
            <v>38596000</v>
          </cell>
          <cell r="V17">
            <v>11000</v>
          </cell>
          <cell r="W17">
            <v>14315000</v>
          </cell>
          <cell r="AC17">
            <v>18280000</v>
          </cell>
          <cell r="AI17">
            <v>0</v>
          </cell>
        </row>
        <row r="18">
          <cell r="A18">
            <v>2020</v>
          </cell>
          <cell r="J18">
            <v>24615000</v>
          </cell>
          <cell r="K18">
            <v>12279000</v>
          </cell>
          <cell r="L18">
            <v>10089000</v>
          </cell>
          <cell r="N18">
            <v>1240000</v>
          </cell>
          <cell r="Q18">
            <v>83827000</v>
          </cell>
          <cell r="R18">
            <v>41596000</v>
          </cell>
          <cell r="V18">
            <v>783000</v>
          </cell>
          <cell r="W18">
            <v>18524000</v>
          </cell>
          <cell r="AC18">
            <v>22924000</v>
          </cell>
          <cell r="AI18">
            <v>0</v>
          </cell>
        </row>
        <row r="19">
          <cell r="A19">
            <v>2021</v>
          </cell>
          <cell r="J19">
            <v>38048000</v>
          </cell>
          <cell r="K19">
            <v>18410000</v>
          </cell>
          <cell r="L19">
            <v>15170000</v>
          </cell>
          <cell r="N19">
            <v>2896000</v>
          </cell>
          <cell r="Q19">
            <v>106754000</v>
          </cell>
          <cell r="R19">
            <v>51707000</v>
          </cell>
          <cell r="V19">
            <v>871000</v>
          </cell>
          <cell r="W19">
            <v>23883000</v>
          </cell>
          <cell r="AC19">
            <v>30293000</v>
          </cell>
          <cell r="AI19">
            <v>0</v>
          </cell>
        </row>
        <row r="20">
          <cell r="A20">
            <v>2022</v>
          </cell>
          <cell r="J20">
            <v>119210000</v>
          </cell>
          <cell r="K20">
            <v>44779000</v>
          </cell>
          <cell r="L20">
            <v>37908000</v>
          </cell>
          <cell r="N20">
            <v>21403000</v>
          </cell>
          <cell r="Q20">
            <v>272327000</v>
          </cell>
          <cell r="R20">
            <v>135948000</v>
          </cell>
          <cell r="V20">
            <v>1011000</v>
          </cell>
          <cell r="W20">
            <v>41531000</v>
          </cell>
          <cell r="AC20">
            <v>93837000</v>
          </cell>
          <cell r="AI20">
            <v>0</v>
          </cell>
        </row>
        <row r="21">
          <cell r="A21">
            <v>2023</v>
          </cell>
          <cell r="J21">
            <v>93383000</v>
          </cell>
          <cell r="K21">
            <v>32794000</v>
          </cell>
          <cell r="L21">
            <v>41139000</v>
          </cell>
          <cell r="N21">
            <v>13311000</v>
          </cell>
          <cell r="Q21">
            <v>264178000</v>
          </cell>
          <cell r="R21">
            <v>152082000</v>
          </cell>
          <cell r="V21">
            <v>1098000</v>
          </cell>
          <cell r="W21">
            <v>41616000</v>
          </cell>
          <cell r="AC21">
            <v>69382000</v>
          </cell>
          <cell r="AI21">
            <v>0</v>
          </cell>
        </row>
        <row r="22">
          <cell r="A22">
            <v>2024</v>
          </cell>
          <cell r="J22">
            <v>68644000</v>
          </cell>
          <cell r="K22">
            <v>21162000</v>
          </cell>
          <cell r="L22">
            <v>32720000</v>
          </cell>
          <cell r="N22">
            <v>11042000</v>
          </cell>
          <cell r="Q22">
            <v>262742000</v>
          </cell>
          <cell r="R22">
            <v>152214000</v>
          </cell>
          <cell r="V22">
            <v>1048000</v>
          </cell>
          <cell r="W22">
            <v>49208000</v>
          </cell>
          <cell r="AC22">
            <v>60272000</v>
          </cell>
          <cell r="AI22">
            <v>0</v>
          </cell>
        </row>
      </sheetData>
      <sheetData sheetId="3">
        <row r="2">
          <cell r="B2">
            <v>30680458</v>
          </cell>
          <cell r="I2">
            <v>2686529</v>
          </cell>
          <cell r="K2">
            <v>366568</v>
          </cell>
          <cell r="O2">
            <v>3138445</v>
          </cell>
          <cell r="Q2">
            <v>2537596</v>
          </cell>
        </row>
        <row r="3">
          <cell r="B3">
            <v>41188267</v>
          </cell>
          <cell r="I3">
            <v>4947620</v>
          </cell>
          <cell r="K3">
            <v>480195</v>
          </cell>
          <cell r="O3">
            <v>5273070</v>
          </cell>
          <cell r="Q3">
            <v>4637776</v>
          </cell>
        </row>
        <row r="4">
          <cell r="B4">
            <v>52867189</v>
          </cell>
          <cell r="I4">
            <v>2576607</v>
          </cell>
          <cell r="K4">
            <v>670838</v>
          </cell>
          <cell r="O4">
            <v>2729347</v>
          </cell>
          <cell r="Q4">
            <v>2060198</v>
          </cell>
        </row>
        <row r="5">
          <cell r="B5">
            <v>63792983</v>
          </cell>
          <cell r="I5">
            <v>2603882</v>
          </cell>
          <cell r="K5">
            <v>1050246</v>
          </cell>
          <cell r="O5">
            <v>3011065</v>
          </cell>
          <cell r="Q5">
            <v>2480426</v>
          </cell>
        </row>
        <row r="6">
          <cell r="B6">
            <v>79535205</v>
          </cell>
          <cell r="I6">
            <v>-1603322</v>
          </cell>
          <cell r="K6">
            <v>2281414</v>
          </cell>
          <cell r="O6">
            <v>-2915403</v>
          </cell>
          <cell r="Q6">
            <v>-2526626</v>
          </cell>
        </row>
        <row r="7">
          <cell r="B7">
            <v>67927990</v>
          </cell>
          <cell r="I7">
            <v>1097076</v>
          </cell>
          <cell r="K7">
            <v>1023074</v>
          </cell>
          <cell r="O7">
            <v>1440652</v>
          </cell>
          <cell r="Q7">
            <v>1300167</v>
          </cell>
        </row>
        <row r="8">
          <cell r="B8">
            <v>83547432</v>
          </cell>
          <cell r="I8">
            <v>3122649</v>
          </cell>
          <cell r="K8">
            <v>751248</v>
          </cell>
          <cell r="O8">
            <v>3070167</v>
          </cell>
          <cell r="Q8">
            <v>2455467</v>
          </cell>
        </row>
        <row r="9">
          <cell r="B9">
            <v>106973074</v>
          </cell>
          <cell r="I9">
            <v>2066472</v>
          </cell>
          <cell r="K9">
            <v>2243175</v>
          </cell>
          <cell r="O9">
            <v>2791741</v>
          </cell>
          <cell r="Q9">
            <v>2015003</v>
          </cell>
        </row>
        <row r="10">
          <cell r="B10">
            <v>120101550</v>
          </cell>
          <cell r="I10">
            <v>2024371</v>
          </cell>
          <cell r="K10">
            <v>981226</v>
          </cell>
          <cell r="O10">
            <v>2624443</v>
          </cell>
          <cell r="Q10">
            <v>2169990</v>
          </cell>
        </row>
        <row r="11">
          <cell r="B11">
            <v>113853000</v>
          </cell>
          <cell r="I11">
            <v>333000</v>
          </cell>
          <cell r="K11">
            <v>628000</v>
          </cell>
          <cell r="O11">
            <v>178000</v>
          </cell>
          <cell r="Q11">
            <v>90000</v>
          </cell>
        </row>
        <row r="12">
          <cell r="B12">
            <v>106832000</v>
          </cell>
          <cell r="I12">
            <v>-4711000</v>
          </cell>
          <cell r="K12">
            <v>1889000</v>
          </cell>
          <cell r="O12">
            <v>-6246000</v>
          </cell>
          <cell r="Q12">
            <v>-5828000</v>
          </cell>
        </row>
        <row r="13">
          <cell r="B13">
            <v>88336000</v>
          </cell>
          <cell r="I13">
            <v>4340000</v>
          </cell>
          <cell r="K13">
            <v>1032000</v>
          </cell>
          <cell r="O13">
            <v>3698000</v>
          </cell>
          <cell r="Q13">
            <v>3233000</v>
          </cell>
        </row>
        <row r="14">
          <cell r="B14">
            <v>79553000</v>
          </cell>
          <cell r="I14">
            <v>7532000</v>
          </cell>
          <cell r="K14">
            <v>893000</v>
          </cell>
          <cell r="O14">
            <v>6887000</v>
          </cell>
          <cell r="Q14">
            <v>5740000</v>
          </cell>
        </row>
        <row r="15">
          <cell r="B15">
            <v>95364000</v>
          </cell>
          <cell r="I15">
            <v>8657000</v>
          </cell>
          <cell r="K15">
            <v>1700000</v>
          </cell>
          <cell r="O15">
            <v>8717000</v>
          </cell>
          <cell r="Q15">
            <v>7173000</v>
          </cell>
        </row>
        <row r="16">
          <cell r="B16">
            <v>109706000</v>
          </cell>
          <cell r="I16">
            <v>7103000</v>
          </cell>
          <cell r="K16">
            <v>1517000</v>
          </cell>
          <cell r="O16">
            <v>6999000</v>
          </cell>
          <cell r="Q16">
            <v>5511000</v>
          </cell>
        </row>
        <row r="17">
          <cell r="B17">
            <v>111203000</v>
          </cell>
          <cell r="I17">
            <v>5365000</v>
          </cell>
          <cell r="K17">
            <v>901000</v>
          </cell>
          <cell r="O17">
            <v>5352000</v>
          </cell>
          <cell r="Q17">
            <v>4298000</v>
          </cell>
        </row>
        <row r="18">
          <cell r="B18">
            <v>86180000</v>
          </cell>
          <cell r="I18">
            <v>3974000</v>
          </cell>
          <cell r="K18">
            <v>1889000</v>
          </cell>
          <cell r="O18">
            <v>2922000</v>
          </cell>
          <cell r="Q18">
            <v>2825000</v>
          </cell>
        </row>
        <row r="19">
          <cell r="B19">
            <v>131341000</v>
          </cell>
          <cell r="I19">
            <v>13870000</v>
          </cell>
          <cell r="K19">
            <v>968000</v>
          </cell>
          <cell r="O19">
            <v>13683000</v>
          </cell>
          <cell r="Q19">
            <v>11188000</v>
          </cell>
        </row>
        <row r="20">
          <cell r="B20">
            <v>277564000</v>
          </cell>
          <cell r="I20">
            <v>41093000</v>
          </cell>
          <cell r="K20">
            <v>2749000</v>
          </cell>
          <cell r="O20">
            <v>40593000</v>
          </cell>
          <cell r="Q20">
            <v>33630000</v>
          </cell>
        </row>
        <row r="21">
          <cell r="B21">
            <v>372767000</v>
          </cell>
          <cell r="I21">
            <v>28056000</v>
          </cell>
          <cell r="K21">
            <v>2149000</v>
          </cell>
          <cell r="O21">
            <v>30314000</v>
          </cell>
          <cell r="Q21">
            <v>20727000</v>
          </cell>
        </row>
        <row r="22">
          <cell r="B22">
            <v>296947000</v>
          </cell>
          <cell r="I22">
            <v>15665000</v>
          </cell>
          <cell r="K22">
            <v>1605000</v>
          </cell>
          <cell r="O22">
            <v>15337000</v>
          </cell>
          <cell r="Q22">
            <v>7953000</v>
          </cell>
        </row>
      </sheetData>
      <sheetData sheetId="4"/>
      <sheetData sheetId="5"/>
      <sheetData sheetId="6">
        <row r="3">
          <cell r="A3">
            <v>2004</v>
          </cell>
        </row>
      </sheetData>
      <sheetData sheetId="7" refreshError="1"/>
      <sheetData sheetId="8" refreshError="1"/>
      <sheetData sheetId="9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1_Tables"/>
      <sheetName val="Stare VALIDATION"/>
      <sheetName val="3_Collaboration"/>
      <sheetName val="Jobs"/>
      <sheetName val="Country"/>
      <sheetName val="Type"/>
      <sheetName val="Validation"/>
      <sheetName val="Data+Formatting"/>
      <sheetName val="Platform"/>
      <sheetName val="Salary Calculato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4">
          <cell r="C4" t="str">
            <v>Data Analyst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077DC3A-0BAC-4F77-8956-2337BDEAC64A}" name="Wska_roczne8" displayName="Wska_roczne8" ref="B2:P23" totalsRowShown="0" headerRowDxfId="15">
  <autoFilter ref="B2:P23" xr:uid="{7077DC3A-0BAC-4F77-8956-2337BDEAC64A}"/>
  <tableColumns count="15">
    <tableColumn id="1" xr3:uid="{858CE139-883F-479D-B87C-3AD70DBE176F}" name="Rok" dataDxfId="14"/>
    <tableColumn id="2" xr3:uid="{9B422FCA-41C5-41E0-A565-A88798C3BE32}" name="Zadłużenie ogólne(%)" dataDxfId="13" dataCellStyle="Per cent">
      <calculatedColumnFormula>(('[1]BR Bilans'!$W2+'[1]BR Bilans'!$AC2)/'[1]BR Bilans'!$Q2)*100</calculatedColumnFormula>
    </tableColumn>
    <tableColumn id="3" xr3:uid="{69D169D1-8F03-4604-B6D6-7F30341571BC}" name="Zadłużenie do kapitału własnego(%)" dataDxfId="12" dataCellStyle="Per cent">
      <calculatedColumnFormula>(('[1]BR Bilans'!$W2+'[1]BR Bilans'!$AC2)/('[1]BR Bilans'!$R2+'[1]BR Bilans'!$V2))*100</calculatedColumnFormula>
    </tableColumn>
    <tableColumn id="4" xr3:uid="{7169BAC0-6D52-4C5B-B136-D2381DC761B2}" name="Pokrycie odsetek zyskiem" dataDxfId="11">
      <calculatedColumnFormula>('[1]BR RZiS'!$O2+'[1]BR RZiS'!$K2)/'[1]BR RZiS'!$K2</calculatedColumnFormula>
    </tableColumn>
    <tableColumn id="5" xr3:uid="{4EBA9050-D1AE-4EA3-B03C-B348C2261D8D}" name="Dług netto do EBITDA" dataDxfId="10">
      <calculatedColumnFormula>(('[1]BR Bilans'!$AC2+'[1]BR Bilans'!$W2)-'[1]BR Bilans'!$N2)/('[1]BR RZiS'!$I2+'[1]BR Rpp_Orlen'!$C2)</calculatedColumnFormula>
    </tableColumn>
    <tableColumn id="6" xr3:uid="{3ECB5E43-9E86-4611-AEC8-6C4373503B1E}" name="Płynności bieżącej" dataDxfId="9">
      <calculatedColumnFormula>'[1]BR Bilans'!$J2/'[1]BR Bilans'!$AC2</calculatedColumnFormula>
    </tableColumn>
    <tableColumn id="7" xr3:uid="{35F2C860-3392-4AA7-A00E-B3864FF6541A}" name="Płynności szybkiej" dataDxfId="8" dataCellStyle="Comma">
      <calculatedColumnFormula>('[1]BR Bilans'!$J2-'[1]BR Bilans'!$K2-'[1]BR Bilans'!$AI2)/'[1]BR Bilans'!$AC2</calculatedColumnFormula>
    </tableColumn>
    <tableColumn id="8" xr3:uid="{932A218F-086B-466F-A997-F0E20B787A97}" name="Płynności natychmiastowej" dataDxfId="7" dataCellStyle="Comma">
      <calculatedColumnFormula>'[1]BR Bilans'!$N2/'[1]BR Bilans'!$AC2</calculatedColumnFormula>
    </tableColumn>
    <tableColumn id="9" xr3:uid="{944B1FEF-FCFD-4880-8C26-174F47AD695E}" name="Marża operacyjna EBIT(%)" dataDxfId="6" dataCellStyle="Per cent">
      <calculatedColumnFormula>(('[1]BR RZiS'!$I2/'[1]BR RZiS'!$B2))*100</calculatedColumnFormula>
    </tableColumn>
    <tableColumn id="10" xr3:uid="{C4574485-DD18-4929-A0BD-880384674D13}" name="ROA(Rentowność aktywów)(%)" dataDxfId="5" dataCellStyle="Per cent">
      <calculatedColumnFormula>('[1]BR RZiS'!$Q2/'[1]BR Bilans'!$Q2)*100</calculatedColumnFormula>
    </tableColumn>
    <tableColumn id="11" xr3:uid="{4D67A985-DB64-43C1-8B69-F8FFE9A7BE77}" name="ROE (Rentowność kapitału własnego)(%)" dataDxfId="4" dataCellStyle="Per cent">
      <calculatedColumnFormula>('[1]BR RZiS'!$Q2/'[1]BR Bilans'!$R2)*100</calculatedColumnFormula>
    </tableColumn>
    <tableColumn id="12" xr3:uid="{11DF57F9-119B-4A00-829E-892CED0CFC3B}" name="Marża netto(%)" dataDxfId="3" dataCellStyle="Per cent">
      <calculatedColumnFormula>('[1]BR RZiS'!$Q2/'[1]BR RZiS'!$B2)*100</calculatedColumnFormula>
    </tableColumn>
    <tableColumn id="13" xr3:uid="{E92849C3-2669-47F4-92BB-BD7F7AAF620E}" name="Rotacja należności( w dniach)" dataDxfId="2">
      <calculatedColumnFormula>('[1]BR Bilans'!$L2/'[1]BR RZiS'!$B2)*365</calculatedColumnFormula>
    </tableColumn>
    <tableColumn id="14" xr3:uid="{7150E3CC-233A-4C41-99A4-5E9567C57B05}" name="Rotacja zobowiazań( w dniach)" dataDxfId="1">
      <calculatedColumnFormula>('[1]BR Bilans'!$AC2/'[1]BR RZiS'!$B2)*365</calculatedColumnFormula>
    </tableColumn>
    <tableColumn id="15" xr3:uid="{3E2FC0FD-EA34-4F39-8C09-A62556A6856C}" name="Rotacja zapasów( w dniach)" dataDxfId="0">
      <calculatedColumnFormula>('[1]BR Bilans'!$K2/'[1]BR RZiS'!$B2)*365</calculatedColumnFormula>
    </tableColumn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0B89D-3979-4FD5-AF73-B696D00812B0}">
  <sheetPr codeName="Sheet1"/>
  <dimension ref="A1:V23"/>
  <sheetViews>
    <sheetView showGridLines="0" showRowColHeaders="0" tabSelected="1" zoomScaleNormal="100" workbookViewId="0">
      <selection activeCell="K4" sqref="K4"/>
    </sheetView>
  </sheetViews>
  <sheetFormatPr defaultRowHeight="15" x14ac:dyDescent="0.25"/>
  <cols>
    <col min="3" max="3" width="23.85546875" customWidth="1"/>
    <col min="6" max="6" width="11.5703125" customWidth="1"/>
    <col min="7" max="7" width="1" customWidth="1"/>
    <col min="8" max="8" width="79.42578125" customWidth="1"/>
    <col min="9" max="9" width="8.140625" customWidth="1"/>
    <col min="10" max="10" width="52.42578125" customWidth="1"/>
    <col min="11" max="11" width="52.5703125" customWidth="1"/>
  </cols>
  <sheetData>
    <row r="1" spans="1:22" x14ac:dyDescent="0.25">
      <c r="A1" s="31" t="s">
        <v>62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</row>
    <row r="2" spans="1:22" ht="15.75" thickBot="1" x14ac:dyDescent="0.3">
      <c r="A2" s="32"/>
      <c r="B2" s="32"/>
      <c r="C2" s="32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</row>
    <row r="3" spans="1:22" ht="24" x14ac:dyDescent="0.25">
      <c r="C3" s="29" t="s">
        <v>24</v>
      </c>
      <c r="H3" s="29" t="s">
        <v>58</v>
      </c>
      <c r="J3" s="29" t="s">
        <v>37</v>
      </c>
      <c r="K3" s="29" t="s">
        <v>44</v>
      </c>
    </row>
    <row r="4" spans="1:22" ht="21" x14ac:dyDescent="0.25">
      <c r="C4" s="30">
        <v>2006</v>
      </c>
      <c r="D4" s="5"/>
      <c r="E4" s="5"/>
      <c r="F4" s="5"/>
      <c r="G4" s="5"/>
      <c r="H4" s="30" t="s">
        <v>61</v>
      </c>
      <c r="I4" s="5"/>
      <c r="J4" s="30" t="s">
        <v>13</v>
      </c>
      <c r="K4" s="30" t="s">
        <v>14</v>
      </c>
    </row>
    <row r="23" spans="7:7" x14ac:dyDescent="0.25">
      <c r="G23" t="s">
        <v>0</v>
      </c>
    </row>
  </sheetData>
  <sheetProtection selectLockedCells="1"/>
  <mergeCells count="2">
    <mergeCell ref="A1:K2"/>
    <mergeCell ref="L1:V2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3D52505-1EC5-4C32-B361-C4FC69E06148}">
          <x14:formula1>
            <xm:f>'Data Validation'!$Z$5:$Z$25</xm:f>
          </x14:formula1>
          <xm:sqref>C4</xm:sqref>
        </x14:dataValidation>
        <x14:dataValidation type="list" allowBlank="1" showInputMessage="1" showErrorMessage="1" xr:uid="{541AC9FB-8F1B-4840-9E5C-573469239DD2}">
          <x14:formula1>
            <xm:f>'Data Validation'!$C$2:$P$2</xm:f>
          </x14:formula1>
          <xm:sqref>J4</xm:sqref>
        </x14:dataValidation>
        <x14:dataValidation type="list" showInputMessage="1" showErrorMessage="1" xr:uid="{17D9D55E-E059-4BF9-B03D-8095B295BAA7}">
          <x14:formula1>
            <xm:f>'Data Validation'!$C$2:$Q$2</xm:f>
          </x14:formula1>
          <xm:sqref>K4</xm:sqref>
        </x14:dataValidation>
        <x14:dataValidation type="list" allowBlank="1" showInputMessage="1" showErrorMessage="1" xr:uid="{AE84D9AA-CDF3-440D-A9BB-471CD2BB52D7}">
          <x14:formula1>
            <xm:f>'Data Validation'!$X$27:$Z$27</xm:f>
          </x14:formula1>
          <xm:sqref>H4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FD90D-ECE8-427F-88E6-256B4DC11C59}">
  <sheetPr codeName="Sheet5"/>
  <dimension ref="B1:AL93"/>
  <sheetViews>
    <sheetView zoomScaleNormal="100" workbookViewId="0">
      <selection activeCell="Z28" sqref="Z28"/>
    </sheetView>
  </sheetViews>
  <sheetFormatPr defaultRowHeight="15" x14ac:dyDescent="0.25"/>
  <cols>
    <col min="2" max="2" width="15.85546875" bestFit="1" customWidth="1"/>
    <col min="3" max="3" width="13.42578125" bestFit="1" customWidth="1"/>
    <col min="4" max="4" width="31.28515625" bestFit="1" customWidth="1"/>
    <col min="5" max="5" width="28" bestFit="1" customWidth="1"/>
    <col min="6" max="6" width="36.5703125" bestFit="1" customWidth="1"/>
    <col min="7" max="7" width="19.7109375" bestFit="1" customWidth="1"/>
    <col min="8" max="8" width="22.140625" customWidth="1"/>
    <col min="9" max="9" width="11.5703125" bestFit="1" customWidth="1"/>
    <col min="10" max="10" width="43.28515625" bestFit="1" customWidth="1"/>
    <col min="11" max="11" width="15.5703125" bestFit="1" customWidth="1"/>
    <col min="12" max="12" width="18.7109375" bestFit="1" customWidth="1"/>
    <col min="13" max="13" width="14.28515625" bestFit="1" customWidth="1"/>
    <col min="14" max="14" width="18.28515625" bestFit="1" customWidth="1"/>
    <col min="15" max="15" width="16.7109375" bestFit="1" customWidth="1"/>
    <col min="17" max="17" width="43.7109375" bestFit="1" customWidth="1"/>
    <col min="22" max="22" width="18.7109375" bestFit="1" customWidth="1"/>
    <col min="24" max="24" width="14.28515625" bestFit="1" customWidth="1"/>
    <col min="25" max="25" width="18.28515625" customWidth="1"/>
    <col min="26" max="26" width="43.7109375" bestFit="1" customWidth="1"/>
    <col min="27" max="27" width="14.28515625" bestFit="1" customWidth="1"/>
    <col min="29" max="29" width="16.7109375" bestFit="1" customWidth="1"/>
    <col min="31" max="31" width="43.7109375" bestFit="1" customWidth="1"/>
    <col min="36" max="36" width="18.7109375" bestFit="1" customWidth="1"/>
  </cols>
  <sheetData>
    <row r="1" spans="2:38" x14ac:dyDescent="0.25">
      <c r="C1" s="33" t="s">
        <v>16</v>
      </c>
      <c r="D1" s="33"/>
      <c r="E1" s="33"/>
      <c r="F1" s="33"/>
      <c r="G1" s="33" t="s">
        <v>12</v>
      </c>
      <c r="H1" s="33"/>
      <c r="I1" s="33"/>
      <c r="J1" s="33" t="s">
        <v>22</v>
      </c>
      <c r="K1" s="33"/>
      <c r="L1" s="33"/>
      <c r="M1" s="33"/>
      <c r="N1" s="33" t="s">
        <v>18</v>
      </c>
      <c r="O1" s="33"/>
      <c r="P1" s="33"/>
    </row>
    <row r="2" spans="2:38" x14ac:dyDescent="0.25">
      <c r="B2" s="5" t="s">
        <v>9</v>
      </c>
      <c r="C2" s="5" t="s">
        <v>38</v>
      </c>
      <c r="D2" s="5" t="s">
        <v>39</v>
      </c>
      <c r="E2" s="11" t="s">
        <v>23</v>
      </c>
      <c r="F2" s="11" t="s">
        <v>11</v>
      </c>
      <c r="G2" s="11" t="s">
        <v>13</v>
      </c>
      <c r="H2" s="5" t="s">
        <v>14</v>
      </c>
      <c r="I2" s="5" t="s">
        <v>15</v>
      </c>
      <c r="J2" s="12" t="s">
        <v>43</v>
      </c>
      <c r="K2" s="15" t="s">
        <v>42</v>
      </c>
      <c r="L2" s="15" t="s">
        <v>41</v>
      </c>
      <c r="M2" s="14" t="s">
        <v>40</v>
      </c>
      <c r="N2" s="11" t="s">
        <v>19</v>
      </c>
      <c r="O2" s="13" t="s">
        <v>20</v>
      </c>
      <c r="P2" s="11" t="s">
        <v>21</v>
      </c>
      <c r="AA2" s="1" t="s">
        <v>25</v>
      </c>
      <c r="AB2" s="1"/>
      <c r="AC2" s="1" t="s">
        <v>25</v>
      </c>
      <c r="AD2" s="1"/>
      <c r="AE2" s="1" t="s">
        <v>25</v>
      </c>
      <c r="AF2" s="1"/>
    </row>
    <row r="3" spans="2:38" x14ac:dyDescent="0.25">
      <c r="B3">
        <v>2004</v>
      </c>
      <c r="C3" s="6">
        <f>(('[1]BR Bilans'!$W2+'[1]BR Bilans'!$AC2)/'[1]BR Bilans'!$Q2)*100</f>
        <v>34.683004723405837</v>
      </c>
      <c r="D3" s="6">
        <f>(('[1]BR Bilans'!$W2+'[1]BR Bilans'!$AC2)/('[1]BR Bilans'!$R2+'[1]BR Bilans'!$V2))*100</f>
        <v>53.09951043604454</v>
      </c>
      <c r="E3" s="3">
        <f>('[1]BR RZiS'!$O2+'[1]BR RZiS'!$K2)/'[1]BR RZiS'!$K2</f>
        <v>9.5616993300015274</v>
      </c>
      <c r="F3" s="3">
        <f>(('[1]BR Bilans'!$AC2+'[1]BR Bilans'!$W2)-'[1]BR Bilans'!$N2)/('[1]BR RZiS'!$I2+'[1]BR Rpp_Orlen'!$C2)</f>
        <v>1.6122839659235344</v>
      </c>
      <c r="G3" s="3">
        <f>'[1]BR Bilans'!$J2/'[1]BR Bilans'!$AC2</f>
        <v>1.9801922283743079</v>
      </c>
      <c r="H3" s="4">
        <f>('[1]BR Bilans'!$J2-'[1]BR Bilans'!$K2-'[1]BR Bilans'!$AI2)/'[1]BR Bilans'!$AC2</f>
        <v>1.1800367458660901</v>
      </c>
      <c r="I3" s="4">
        <f>'[1]BR Bilans'!$N2/'[1]BR Bilans'!$AC2</f>
        <v>0.18235398517666762</v>
      </c>
      <c r="J3" s="6">
        <f>(('[1]BR RZiS'!$I2/'[1]BR RZiS'!$B2))*100</f>
        <v>8.7564827096127438</v>
      </c>
      <c r="K3" s="6">
        <f>('[1]BR RZiS'!$Q2/'[1]BR Bilans'!$Q2)*100</f>
        <v>12.159366730595762</v>
      </c>
      <c r="L3" s="6">
        <f>('[1]BR RZiS'!$Q2/'[1]BR Bilans'!$R2)*100</f>
        <v>19.236441834839241</v>
      </c>
      <c r="M3" s="6">
        <f>('[1]BR RZiS'!$Q2/'[1]BR RZiS'!$B2)*100</f>
        <v>8.2710499302194247</v>
      </c>
      <c r="N3" s="3">
        <f>('[1]BR Bilans'!$L2/'[1]BR RZiS'!$B2)*365</f>
        <v>30.980423434356812</v>
      </c>
      <c r="O3" s="3">
        <f>('[1]BR Bilans'!$AC2/'[1]BR RZiS'!$B2)*365</f>
        <v>47.592648388756132</v>
      </c>
      <c r="P3" s="3">
        <f>('[1]BR Bilans'!$K2/'[1]BR RZiS'!$B2)*365</f>
        <v>38.081518535349112</v>
      </c>
      <c r="AA3" s="1">
        <f>_xlfn.XLOOKUP(rok,$Z$5:$Z$25,$AA$5:$AA$25,"No value")</f>
        <v>2060198</v>
      </c>
      <c r="AB3" s="1"/>
      <c r="AC3" s="1">
        <f>_xlfn.XLOOKUP(rok,$Z$5:$Z$25,$AC$5:$AC$25)</f>
        <v>45419084</v>
      </c>
      <c r="AD3" s="1"/>
      <c r="AE3" s="1">
        <f>_xlfn.XLOOKUP(rok,Z5:Z25,AE5:AE25)</f>
        <v>3693189</v>
      </c>
      <c r="AF3" s="1"/>
    </row>
    <row r="4" spans="2:38" ht="18.75" x14ac:dyDescent="0.25">
      <c r="B4">
        <v>2005</v>
      </c>
      <c r="C4" s="6">
        <f>(('[1]BR Bilans'!$W3+'[1]BR Bilans'!$AC3)/'[1]BR Bilans'!$Q3)*100</f>
        <v>42.184142040828206</v>
      </c>
      <c r="D4" s="6">
        <f>(('[1]BR Bilans'!$W3+'[1]BR Bilans'!$AC3)/('[1]BR Bilans'!$R3+'[1]BR Bilans'!$V3))*100</f>
        <v>72.962926660394203</v>
      </c>
      <c r="E4" s="3">
        <f>('[1]BR RZiS'!$O3+'[1]BR RZiS'!$K3)/'[1]BR RZiS'!$K3</f>
        <v>11.98110142754506</v>
      </c>
      <c r="F4" s="3">
        <f>(('[1]BR Bilans'!$AC3+'[1]BR Bilans'!$W3)-'[1]BR Bilans'!$N3)/('[1]BR RZiS'!$I3+'[1]BR Rpp_Orlen'!$C3)</f>
        <v>1.9270747925995204</v>
      </c>
      <c r="G4" s="3">
        <f>'[1]BR Bilans'!$J3/'[1]BR Bilans'!$AC3</f>
        <v>1.4663337576979782</v>
      </c>
      <c r="H4" s="4">
        <f>('[1]BR Bilans'!$J3-'[1]BR Bilans'!$K3-'[1]BR Bilans'!$AI3)/'[1]BR Bilans'!$AC3</f>
        <v>0.75028582827065027</v>
      </c>
      <c r="I4" s="4">
        <f>'[1]BR Bilans'!$N3/'[1]BR Bilans'!$AC3</f>
        <v>0.13198326108124081</v>
      </c>
      <c r="J4" s="6">
        <f>(('[1]BR RZiS'!$I3/'[1]BR RZiS'!$B3))*100</f>
        <v>12.012207262811032</v>
      </c>
      <c r="K4" s="6">
        <f>('[1]BR RZiS'!$Q3/'[1]BR Bilans'!$Q3)*100</f>
        <v>13.883764882921849</v>
      </c>
      <c r="L4" s="6">
        <f>('[1]BR RZiS'!$Q3/'[1]BR Bilans'!$R3)*100</f>
        <v>27.818026291883729</v>
      </c>
      <c r="M4" s="6">
        <f>('[1]BR RZiS'!$Q3/'[1]BR RZiS'!$B3)*100</f>
        <v>11.259944488560299</v>
      </c>
      <c r="N4" s="3">
        <f>('[1]BR Bilans'!$L3/'[1]BR RZiS'!$B3)*365</f>
        <v>42.77746924870619</v>
      </c>
      <c r="O4" s="3">
        <f>('[1]BR Bilans'!$AC3/'[1]BR RZiS'!$B3)*365</f>
        <v>75.656889982771062</v>
      </c>
      <c r="P4" s="3">
        <f>('[1]BR Bilans'!$K3/'[1]BR RZiS'!$B3)*365</f>
        <v>54.173959419074372</v>
      </c>
      <c r="AA4" s="10" t="s">
        <v>5</v>
      </c>
      <c r="AB4" s="10" t="s">
        <v>32</v>
      </c>
      <c r="AC4" s="16" t="s">
        <v>7</v>
      </c>
      <c r="AD4" s="16" t="s">
        <v>32</v>
      </c>
      <c r="AE4" s="10" t="s">
        <v>8</v>
      </c>
      <c r="AF4" s="20" t="s">
        <v>32</v>
      </c>
      <c r="AI4" t="s">
        <v>26</v>
      </c>
      <c r="AJ4" t="s">
        <v>27</v>
      </c>
    </row>
    <row r="5" spans="2:38" x14ac:dyDescent="0.25">
      <c r="B5">
        <v>2006</v>
      </c>
      <c r="C5" s="6">
        <f>(('[1]BR Bilans'!$W4+'[1]BR Bilans'!$AC4)/'[1]BR Bilans'!$Q4)*100</f>
        <v>52.48128958303078</v>
      </c>
      <c r="D5" s="6">
        <f>(('[1]BR Bilans'!$W4+'[1]BR Bilans'!$AC4)/('[1]BR Bilans'!$R4+'[1]BR Bilans'!$V4))*100</f>
        <v>110.44342138605133</v>
      </c>
      <c r="E5" s="3">
        <f>('[1]BR RZiS'!$O4+'[1]BR RZiS'!$K4)/'[1]BR RZiS'!$K4</f>
        <v>5.0685634981918142</v>
      </c>
      <c r="F5" s="3">
        <f>(('[1]BR Bilans'!$AC4+'[1]BR Bilans'!$W4)-'[1]BR Bilans'!$N4)/('[1]BR RZiS'!$I4+'[1]BR Rpp_Orlen'!$C4)</f>
        <v>4.5862157808746451</v>
      </c>
      <c r="G5" s="3">
        <f>'[1]BR Bilans'!$J4/'[1]BR Bilans'!$AC4</f>
        <v>1.193563303741846</v>
      </c>
      <c r="H5" s="4">
        <f>('[1]BR Bilans'!$J4-'[1]BR Bilans'!$K4-'[1]BR Bilans'!$AI4)/'[1]BR Bilans'!$AC4</f>
        <v>0.69627415031396567</v>
      </c>
      <c r="I5" s="4">
        <f>'[1]BR Bilans'!$N4/'[1]BR Bilans'!$AC4</f>
        <v>0.15803604398275134</v>
      </c>
      <c r="J5" s="6">
        <f>(('[1]BR RZiS'!$I4/'[1]BR RZiS'!$B4))*100</f>
        <v>4.8737355791699084</v>
      </c>
      <c r="K5" s="6">
        <f>('[1]BR RZiS'!$Q4/'[1]BR Bilans'!$Q4)*100</f>
        <v>4.5359743494606803</v>
      </c>
      <c r="L5" s="6">
        <f>('[1]BR RZiS'!$Q4/'[1]BR Bilans'!$R4)*100</f>
        <v>10.928887365828972</v>
      </c>
      <c r="M5" s="6">
        <f>('[1]BR RZiS'!$Q4/'[1]BR RZiS'!$B4)*100</f>
        <v>3.8969312327160046</v>
      </c>
      <c r="N5" s="3">
        <f>('[1]BR Bilans'!$L4/'[1]BR RZiS'!$B4)*365</f>
        <v>45.199116695990774</v>
      </c>
      <c r="O5" s="3">
        <f>('[1]BR Bilans'!$AC4/'[1]BR RZiS'!$B4)*365</f>
        <v>102.72170835487394</v>
      </c>
      <c r="P5" s="3">
        <f>('[1]BR Bilans'!$K4/'[1]BR RZiS'!$B4)*365</f>
        <v>51.082391386460884</v>
      </c>
      <c r="Z5" s="9">
        <v>2004</v>
      </c>
      <c r="AA5" s="17">
        <v>2537596</v>
      </c>
      <c r="AB5" s="17" t="s">
        <v>33</v>
      </c>
      <c r="AC5" s="17">
        <v>20869475</v>
      </c>
      <c r="AD5" s="17" t="s">
        <v>33</v>
      </c>
      <c r="AE5" s="17">
        <v>3636845</v>
      </c>
      <c r="AF5" s="17" t="s">
        <v>33</v>
      </c>
      <c r="AI5" s="1">
        <f>_xlfn.STDEV.P(AA5:AA25)</f>
        <v>8108183.8983673248</v>
      </c>
      <c r="AJ5" s="19">
        <f>AVERAGE(AA5:AA25)</f>
        <v>5412857</v>
      </c>
      <c r="AL5" t="str">
        <f>IF(ABS(_xlfn.XLOOKUP(rok, Z5:Z25, AA5:AA25) - AVERAGE(AA5:AA25)) &lt;= _xlfn.STDEV.P(AA5:AA25), "W granicach normy", "Znaczna zmiana")</f>
        <v>W granicach normy</v>
      </c>
    </row>
    <row r="6" spans="2:38" x14ac:dyDescent="0.25">
      <c r="B6">
        <v>2007</v>
      </c>
      <c r="C6" s="6">
        <f>(('[1]BR Bilans'!$W5+'[1]BR Bilans'!$AC5)/'[1]BR Bilans'!$Q5)*100</f>
        <v>51.038228134609973</v>
      </c>
      <c r="D6" s="6">
        <f>(('[1]BR Bilans'!$W5+'[1]BR Bilans'!$AC5)/('[1]BR Bilans'!$R5+'[1]BR Bilans'!$V5))*100</f>
        <v>104.24097451973087</v>
      </c>
      <c r="E6" s="3">
        <f>('[1]BR RZiS'!$O5+'[1]BR RZiS'!$K5)/'[1]BR RZiS'!$K5</f>
        <v>3.8670092530702331</v>
      </c>
      <c r="F6" s="3">
        <f>(('[1]BR Bilans'!$AC5+'[1]BR Bilans'!$W5)-'[1]BR Bilans'!$N5)/('[1]BR RZiS'!$I5+'[1]BR Rpp_Orlen'!$C5)</f>
        <v>4.3754713964695284</v>
      </c>
      <c r="G6" s="3">
        <f>'[1]BR Bilans'!$J5/'[1]BR Bilans'!$AC5</f>
        <v>1.5569589754139974</v>
      </c>
      <c r="H6" s="4">
        <f>('[1]BR Bilans'!$J5-'[1]BR Bilans'!$K5-'[1]BR Bilans'!$AI5)/'[1]BR Bilans'!$AC5</f>
        <v>0.72363717869034638</v>
      </c>
      <c r="I6" s="4">
        <f>'[1]BR Bilans'!$N5/'[1]BR Bilans'!$AC5</f>
        <v>0.12044960137596782</v>
      </c>
      <c r="J6" s="6">
        <f>(('[1]BR RZiS'!$I5/'[1]BR RZiS'!$B5))*100</f>
        <v>4.0817686797935124</v>
      </c>
      <c r="K6" s="6">
        <f>('[1]BR RZiS'!$Q5/'[1]BR Bilans'!$Q5)*100</f>
        <v>5.3802039245968114</v>
      </c>
      <c r="L6" s="6">
        <f>('[1]BR RZiS'!$Q5/'[1]BR Bilans'!$R5)*100</f>
        <v>12.442359258071159</v>
      </c>
      <c r="M6" s="6">
        <f>('[1]BR RZiS'!$Q5/'[1]BR RZiS'!$B5)*100</f>
        <v>3.8882426927739058</v>
      </c>
      <c r="N6" s="3">
        <f>('[1]BR Bilans'!$L5/'[1]BR RZiS'!$B5)*365</f>
        <v>40.05048862505771</v>
      </c>
      <c r="O6" s="3">
        <f>('[1]BR Bilans'!$AC5/'[1]BR RZiS'!$B5)*365</f>
        <v>71.16945754049469</v>
      </c>
      <c r="P6" s="3">
        <f>('[1]BR Bilans'!$K5/'[1]BR RZiS'!$B5)*365</f>
        <v>59.307060229492635</v>
      </c>
      <c r="Z6" s="8">
        <v>2005</v>
      </c>
      <c r="AA6" s="18">
        <v>4637776</v>
      </c>
      <c r="AB6" s="21">
        <f t="shared" ref="AB6:AB25" si="0">($AA6-$AA5)/ABS($AA5)</f>
        <v>0.8276258316926729</v>
      </c>
      <c r="AC6" s="18">
        <v>33404311</v>
      </c>
      <c r="AD6" s="21">
        <f t="shared" ref="AD6:AD25" si="1">($AC6-$AC5)/ABS($AC5)</f>
        <v>0.60063015480744009</v>
      </c>
      <c r="AE6" s="18">
        <v>3663889</v>
      </c>
      <c r="AF6" s="22">
        <f t="shared" ref="AF6:AF25" si="2">($AE6-$AE5)/$AE5</f>
        <v>7.4361156441916003E-3</v>
      </c>
      <c r="AG6" s="21"/>
      <c r="AI6" t="s">
        <v>28</v>
      </c>
      <c r="AJ6" t="s">
        <v>30</v>
      </c>
    </row>
    <row r="7" spans="2:38" x14ac:dyDescent="0.25">
      <c r="B7">
        <v>2008</v>
      </c>
      <c r="C7" s="6">
        <f>(('[1]BR Bilans'!$W6+'[1]BR Bilans'!$AC6)/'[1]BR Bilans'!$Q6)*100</f>
        <v>56.293093777108403</v>
      </c>
      <c r="D7" s="6">
        <f>(('[1]BR Bilans'!$W6+'[1]BR Bilans'!$AC6)/('[1]BR Bilans'!$R6+'[1]BR Bilans'!$V6))*100</f>
        <v>128.79679355484731</v>
      </c>
      <c r="E7" s="3">
        <f>('[1]BR RZiS'!$O6+'[1]BR RZiS'!$K6)/'[1]BR RZiS'!$K6</f>
        <v>-0.27789300845878917</v>
      </c>
      <c r="F7" s="3">
        <f>(('[1]BR Bilans'!$AC6+'[1]BR Bilans'!$W6)-'[1]BR Bilans'!$N6)/('[1]BR RZiS'!$I6+'[1]BR Rpp_Orlen'!$C6)</f>
        <v>28.263687967380619</v>
      </c>
      <c r="G7" s="3">
        <f>'[1]BR Bilans'!$J6/'[1]BR Bilans'!$AC6</f>
        <v>0.81132301005161644</v>
      </c>
      <c r="H7" s="4">
        <f>('[1]BR Bilans'!$J6-'[1]BR Bilans'!$K6-'[1]BR Bilans'!$AI6)/'[1]BR Bilans'!$AC6</f>
        <v>0.39458397954142438</v>
      </c>
      <c r="I7" s="4">
        <f>'[1]BR Bilans'!$N6/'[1]BR Bilans'!$AC6</f>
        <v>6.1633591128809478E-2</v>
      </c>
      <c r="J7" s="6">
        <f>(('[1]BR RZiS'!$I6/'[1]BR RZiS'!$B6))*100</f>
        <v>-2.0158645470266907</v>
      </c>
      <c r="K7" s="6">
        <f>('[1]BR RZiS'!$Q6/'[1]BR Bilans'!$Q6)*100</f>
        <v>-5.3785751158842592</v>
      </c>
      <c r="L7" s="6">
        <f>('[1]BR RZiS'!$Q6/'[1]BR Bilans'!$R6)*100</f>
        <v>-14.184096404155797</v>
      </c>
      <c r="M7" s="6">
        <f>('[1]BR RZiS'!$Q6/'[1]BR RZiS'!$B6)*100</f>
        <v>-3.1767391559498717</v>
      </c>
      <c r="N7" s="3">
        <f>('[1]BR Bilans'!$L6/'[1]BR RZiS'!$B6)*365</f>
        <v>30.968661487702203</v>
      </c>
      <c r="O7" s="3">
        <f>('[1]BR Bilans'!$AC6/'[1]BR RZiS'!$B6)*365</f>
        <v>100.08929536297795</v>
      </c>
      <c r="P7" s="3">
        <f>('[1]BR Bilans'!$K6/'[1]BR RZiS'!$B6)*365</f>
        <v>41.711115914015686</v>
      </c>
      <c r="Z7" s="9">
        <v>2006</v>
      </c>
      <c r="AA7" s="17">
        <v>2060198</v>
      </c>
      <c r="AB7" s="21">
        <f t="shared" si="0"/>
        <v>-0.55577889057168783</v>
      </c>
      <c r="AC7" s="17">
        <v>45419084</v>
      </c>
      <c r="AD7" s="21">
        <f t="shared" si="1"/>
        <v>0.35967731829583316</v>
      </c>
      <c r="AE7" s="17">
        <v>3693189</v>
      </c>
      <c r="AF7" s="22">
        <f t="shared" si="2"/>
        <v>7.9969671570290484E-3</v>
      </c>
      <c r="AG7" s="21"/>
      <c r="AI7" s="1">
        <f>_xlfn.STDEV.P(AC5:AC25)</f>
        <v>75838020.652798548</v>
      </c>
      <c r="AJ7" s="7">
        <f>AVERAGE(AC5:AC25)</f>
        <v>85327122.142857149</v>
      </c>
      <c r="AL7" t="str">
        <f>IF(ABS(_xlfn.XLOOKUP(rok, Z5:Z25, AC5:AC25) - AVERAGE(AC5:AC25)) &lt;= _xlfn.STDEV.P(AC5:AC25), "W granicach normy", "Znaczna zmiana")</f>
        <v>W granicach normy</v>
      </c>
    </row>
    <row r="8" spans="2:38" x14ac:dyDescent="0.25">
      <c r="B8">
        <v>2009</v>
      </c>
      <c r="C8" s="6">
        <f>(('[1]BR Bilans'!$W7+'[1]BR Bilans'!$AC7)/'[1]BR Bilans'!$Q7)*100</f>
        <v>55.779049777267673</v>
      </c>
      <c r="D8" s="6">
        <f>(('[1]BR Bilans'!$W7+'[1]BR Bilans'!$AC7)/('[1]BR Bilans'!$R7+'[1]BR Bilans'!$V7))*100</f>
        <v>126.13715783202181</v>
      </c>
      <c r="E8" s="3">
        <f>('[1]BR RZiS'!$O7+'[1]BR RZiS'!$K7)/'[1]BR RZiS'!$K7</f>
        <v>2.4081601135401742</v>
      </c>
      <c r="F8" s="3">
        <f>(('[1]BR Bilans'!$AC7+'[1]BR Bilans'!$W7)-'[1]BR Bilans'!$N7)/('[1]BR RZiS'!$I7+'[1]BR Rpp_Orlen'!$C7)</f>
        <v>6.6689424190975473</v>
      </c>
      <c r="G8" s="3">
        <f>'[1]BR Bilans'!$J7/'[1]BR Bilans'!$AC7</f>
        <v>1.3726310462937141</v>
      </c>
      <c r="H8" s="4">
        <f>('[1]BR Bilans'!$J7-'[1]BR Bilans'!$K7-'[1]BR Bilans'!$AI7)/'[1]BR Bilans'!$AC7</f>
        <v>0.62250941478717026</v>
      </c>
      <c r="I8" s="4">
        <f>'[1]BR Bilans'!$N7/'[1]BR Bilans'!$AC7</f>
        <v>0.20773693633826726</v>
      </c>
      <c r="J8" s="6">
        <f>(('[1]BR RZiS'!$I7/'[1]BR RZiS'!$B7))*100</f>
        <v>1.6150573570629723</v>
      </c>
      <c r="K8" s="6">
        <f>('[1]BR RZiS'!$Q7/'[1]BR Bilans'!$Q7)*100</f>
        <v>2.6486415131008414</v>
      </c>
      <c r="L8" s="6">
        <f>('[1]BR RZiS'!$Q7/'[1]BR Bilans'!$R7)*100</f>
        <v>6.8293603554971369</v>
      </c>
      <c r="M8" s="6">
        <f>('[1]BR RZiS'!$Q7/'[1]BR RZiS'!$B7)*100</f>
        <v>1.9140372032206459</v>
      </c>
      <c r="N8" s="3">
        <f>('[1]BR Bilans'!$L7/'[1]BR RZiS'!$B7)*365</f>
        <v>29.292844819933581</v>
      </c>
      <c r="O8" s="3">
        <f>('[1]BR Bilans'!$AC7/'[1]BR RZiS'!$B7)*365</f>
        <v>76.073108301894393</v>
      </c>
      <c r="P8" s="3">
        <f>('[1]BR Bilans'!$K7/'[1]BR RZiS'!$B7)*365</f>
        <v>57.064084113191043</v>
      </c>
      <c r="Z8" s="8">
        <v>2007</v>
      </c>
      <c r="AA8" s="18">
        <v>2480426</v>
      </c>
      <c r="AB8" s="21">
        <f t="shared" si="0"/>
        <v>0.20397456943458833</v>
      </c>
      <c r="AC8" s="18">
        <v>46102825</v>
      </c>
      <c r="AD8" s="21">
        <f t="shared" si="1"/>
        <v>1.5054046444441724E-2</v>
      </c>
      <c r="AE8" s="18">
        <v>1965066</v>
      </c>
      <c r="AF8" s="22">
        <f t="shared" si="2"/>
        <v>-0.4679216254570237</v>
      </c>
      <c r="AG8" s="21"/>
      <c r="AI8" t="s">
        <v>29</v>
      </c>
      <c r="AJ8" t="s">
        <v>31</v>
      </c>
    </row>
    <row r="9" spans="2:38" x14ac:dyDescent="0.25">
      <c r="B9">
        <v>2010</v>
      </c>
      <c r="C9" s="6">
        <f>(('[1]BR Bilans'!$W8+'[1]BR Bilans'!$AC8)/'[1]BR Bilans'!$Q8)*100</f>
        <v>52.609869850497148</v>
      </c>
      <c r="D9" s="6">
        <f>(('[1]BR Bilans'!$W8+'[1]BR Bilans'!$AC8)/('[1]BR Bilans'!$R8+'[1]BR Bilans'!$V8))*100</f>
        <v>111.01440254442738</v>
      </c>
      <c r="E9" s="3">
        <f>('[1]BR RZiS'!$O8+'[1]BR RZiS'!$K8)/'[1]BR RZiS'!$K8</f>
        <v>5.0867556386173405</v>
      </c>
      <c r="F9" s="3">
        <f>(('[1]BR Bilans'!$AC8+'[1]BR Bilans'!$W8)-'[1]BR Bilans'!$N8)/('[1]BR RZiS'!$I8+'[1]BR Rpp_Orlen'!$C8)</f>
        <v>4.3439813856395464</v>
      </c>
      <c r="G9" s="3">
        <f>'[1]BR Bilans'!$J8/'[1]BR Bilans'!$AC8</f>
        <v>1.2756400729024506</v>
      </c>
      <c r="H9" s="4">
        <f>('[1]BR Bilans'!$J8-'[1]BR Bilans'!$K8-'[1]BR Bilans'!$AI8)/'[1]BR Bilans'!$AC8</f>
        <v>0.5802290213667326</v>
      </c>
      <c r="I9" s="4">
        <f>'[1]BR Bilans'!$N8/'[1]BR Bilans'!$AC8</f>
        <v>0.17366985720581571</v>
      </c>
      <c r="J9" s="6">
        <f>(('[1]BR RZiS'!$I8/'[1]BR RZiS'!$B8))*100</f>
        <v>3.7375762788256615</v>
      </c>
      <c r="K9" s="6">
        <f>('[1]BR RZiS'!$Q8/'[1]BR Bilans'!$Q8)*100</f>
        <v>4.8005415153985371</v>
      </c>
      <c r="L9" s="6">
        <f>('[1]BR RZiS'!$Q8/'[1]BR Bilans'!$R8)*100</f>
        <v>11.353218230975139</v>
      </c>
      <c r="M9" s="6">
        <f>('[1]BR RZiS'!$Q8/'[1]BR RZiS'!$B8)*100</f>
        <v>2.9390095437044672</v>
      </c>
      <c r="N9" s="3">
        <f>('[1]BR Bilans'!$L8/'[1]BR RZiS'!$B8)*365</f>
        <v>27.685259973041422</v>
      </c>
      <c r="O9" s="3">
        <f>('[1]BR Bilans'!$AC8/'[1]BR RZiS'!$B8)*365</f>
        <v>70.957560610600211</v>
      </c>
      <c r="P9" s="3">
        <f>('[1]BR Bilans'!$K8/'[1]BR RZiS'!$B8)*365</f>
        <v>49.344671838626951</v>
      </c>
      <c r="Z9" s="9">
        <v>2008</v>
      </c>
      <c r="AA9" s="17">
        <v>-2526626</v>
      </c>
      <c r="AB9" s="21">
        <f t="shared" si="0"/>
        <v>-2.0186258328206526</v>
      </c>
      <c r="AC9" s="17">
        <v>46975750</v>
      </c>
      <c r="AD9" s="21">
        <f t="shared" si="1"/>
        <v>1.8934306086449148E-2</v>
      </c>
      <c r="AE9" s="17">
        <v>3616760</v>
      </c>
      <c r="AF9" s="22">
        <f t="shared" si="2"/>
        <v>0.84052851151055485</v>
      </c>
      <c r="AG9" s="21"/>
      <c r="AI9" s="1">
        <f>_xlfn.STDEV.P(AE5:AE25)</f>
        <v>11336903.667290226</v>
      </c>
      <c r="AJ9" s="7">
        <f>AVERAGE(AE5:AE25)</f>
        <v>9887192</v>
      </c>
      <c r="AL9" t="str">
        <f>IF(ABS(_xlfn.XLOOKUP(rok, Z5:Z25,AE5:AE25) - AVERAGE(AE5:AE25)) &lt;= _xlfn.STDEV.P(AE5:AE25), "W granicach normy", "Znaczna zmiana")</f>
        <v>W granicach normy</v>
      </c>
    </row>
    <row r="10" spans="2:38" x14ac:dyDescent="0.25">
      <c r="B10">
        <v>2011</v>
      </c>
      <c r="C10" s="6">
        <f>(('[1]BR Bilans'!$W9+'[1]BR Bilans'!$AC9)/'[1]BR Bilans'!$Q9)*100</f>
        <v>54.370835006059274</v>
      </c>
      <c r="D10" s="6">
        <f>(('[1]BR Bilans'!$W9+'[1]BR Bilans'!$AC9)/('[1]BR Bilans'!$R9+'[1]BR Bilans'!$V9))*100</f>
        <v>119.15807579051551</v>
      </c>
      <c r="E10" s="3">
        <f>('[1]BR RZiS'!$O9+'[1]BR RZiS'!$K9)/'[1]BR RZiS'!$K9</f>
        <v>2.2445489094698363</v>
      </c>
      <c r="F10" s="3">
        <f>(('[1]BR Bilans'!$AC9+'[1]BR Bilans'!$W9)-'[1]BR Bilans'!$N9)/('[1]BR RZiS'!$I9+'[1]BR Rpp_Orlen'!$C9)</f>
        <v>5.9651650091534316</v>
      </c>
      <c r="G10" s="3">
        <f>'[1]BR Bilans'!$J9/'[1]BR Bilans'!$AC9</f>
        <v>1.5208525622813502</v>
      </c>
      <c r="H10" s="4">
        <f>('[1]BR Bilans'!$J9-'[1]BR Bilans'!$K9-'[1]BR Bilans'!$AI9)/'[1]BR Bilans'!$AC9</f>
        <v>0.69832759066326489</v>
      </c>
      <c r="I10" s="4">
        <f>'[1]BR Bilans'!$N9/'[1]BR Bilans'!$AC9</f>
        <v>0.27301380476745507</v>
      </c>
      <c r="J10" s="6">
        <f>(('[1]BR RZiS'!$I9/'[1]BR RZiS'!$B9))*100</f>
        <v>1.9317683625694442</v>
      </c>
      <c r="K10" s="6">
        <f>('[1]BR RZiS'!$Q9/'[1]BR Bilans'!$Q9)*100</f>
        <v>3.4308739854971808</v>
      </c>
      <c r="L10" s="6">
        <f>('[1]BR RZiS'!$Q9/'[1]BR Bilans'!$R9)*100</f>
        <v>8.2131802556418858</v>
      </c>
      <c r="M10" s="6">
        <f>('[1]BR RZiS'!$Q9/'[1]BR RZiS'!$B9)*100</f>
        <v>1.8836543857756203</v>
      </c>
      <c r="N10" s="3">
        <f>('[1]BR Bilans'!$L9/'[1]BR RZiS'!$B9)*365</f>
        <v>27.653815716280153</v>
      </c>
      <c r="O10" s="3">
        <f>('[1]BR Bilans'!$AC9/'[1]BR RZiS'!$B9)*365</f>
        <v>67.60270762154596</v>
      </c>
      <c r="P10" s="3">
        <f>('[1]BR Bilans'!$K9/'[1]BR RZiS'!$B9)*365</f>
        <v>55.604915167717813</v>
      </c>
      <c r="Z10" s="8">
        <v>2009</v>
      </c>
      <c r="AA10" s="18">
        <v>1300167</v>
      </c>
      <c r="AB10" s="21">
        <f t="shared" si="0"/>
        <v>1.5145862505966454</v>
      </c>
      <c r="AC10" s="18">
        <v>49088070</v>
      </c>
      <c r="AD10" s="21">
        <f t="shared" si="1"/>
        <v>4.4966179358498802E-2</v>
      </c>
      <c r="AE10" s="18">
        <v>5161793</v>
      </c>
      <c r="AF10" s="22">
        <f t="shared" si="2"/>
        <v>0.42718704033444299</v>
      </c>
      <c r="AG10" s="21"/>
    </row>
    <row r="11" spans="2:38" x14ac:dyDescent="0.25">
      <c r="B11">
        <v>2012</v>
      </c>
      <c r="C11" s="6">
        <f>(('[1]BR Bilans'!$W10+'[1]BR Bilans'!$AC10)/'[1]BR Bilans'!$Q10)*100</f>
        <v>46.216200861929089</v>
      </c>
      <c r="D11" s="6">
        <f>(('[1]BR Bilans'!$W10+'[1]BR Bilans'!$AC10)/('[1]BR Bilans'!$R10+'[1]BR Bilans'!$V10))*100</f>
        <v>85.929595161705308</v>
      </c>
      <c r="E11" s="3">
        <f>('[1]BR RZiS'!$O10+'[1]BR RZiS'!$K10)/'[1]BR RZiS'!$K10</f>
        <v>3.6746570107192431</v>
      </c>
      <c r="F11" s="3">
        <f>(('[1]BR Bilans'!$AC10+'[1]BR Bilans'!$W10)-'[1]BR Bilans'!$N10)/('[1]BR RZiS'!$I10+'[1]BR Rpp_Orlen'!$C10)</f>
        <v>5.1610591965023636</v>
      </c>
      <c r="G11" s="3">
        <f>'[1]BR Bilans'!$J10/'[1]BR Bilans'!$AC10</f>
        <v>1.706858578559582</v>
      </c>
      <c r="H11" s="4">
        <f>('[1]BR Bilans'!$J10-'[1]BR Bilans'!$K10-'[1]BR Bilans'!$AI10)/'[1]BR Bilans'!$AC10</f>
        <v>0.71454283712038558</v>
      </c>
      <c r="I11" s="4">
        <f>'[1]BR Bilans'!$N10/'[1]BR Bilans'!$AC10</f>
        <v>0.14618779346385199</v>
      </c>
      <c r="J11" s="6">
        <f>(('[1]BR RZiS'!$I10/'[1]BR RZiS'!$B10))*100</f>
        <v>1.6855494371221686</v>
      </c>
      <c r="K11" s="6">
        <f>('[1]BR RZiS'!$Q10/'[1]BR Bilans'!$Q10)*100</f>
        <v>4.1230435878016625</v>
      </c>
      <c r="L11" s="6">
        <f>('[1]BR RZiS'!$Q10/'[1]BR Bilans'!$R10)*100</f>
        <v>8.1950778926860561</v>
      </c>
      <c r="M11" s="6">
        <f>('[1]BR RZiS'!$Q10/'[1]BR RZiS'!$B10)*100</f>
        <v>1.8067959988859426</v>
      </c>
      <c r="N11" s="3">
        <f>('[1]BR Bilans'!$L10/'[1]BR RZiS'!$B10)*365</f>
        <v>24.813987454783057</v>
      </c>
      <c r="O11" s="3">
        <f>('[1]BR Bilans'!$AC10/'[1]BR RZiS'!$B10)*365</f>
        <v>45.973265832122898</v>
      </c>
      <c r="P11" s="3">
        <f>('[1]BR Bilans'!$K10/'[1]BR RZiS'!$B10)*365</f>
        <v>45.619995370584313</v>
      </c>
      <c r="Z11" s="9">
        <v>2010</v>
      </c>
      <c r="AA11" s="17">
        <v>2455467</v>
      </c>
      <c r="AB11" s="21">
        <f t="shared" si="0"/>
        <v>0.8885781595748854</v>
      </c>
      <c r="AC11" s="17">
        <v>51149792</v>
      </c>
      <c r="AD11" s="21">
        <f t="shared" si="1"/>
        <v>4.2000469767908985E-2</v>
      </c>
      <c r="AE11" s="17">
        <v>6110199</v>
      </c>
      <c r="AF11" s="22">
        <f t="shared" si="2"/>
        <v>0.18373576778456632</v>
      </c>
      <c r="AG11" s="21"/>
      <c r="AI11" t="s">
        <v>34</v>
      </c>
    </row>
    <row r="12" spans="2:38" x14ac:dyDescent="0.25">
      <c r="B12">
        <v>2013</v>
      </c>
      <c r="C12" s="6">
        <f>(('[1]BR Bilans'!$W11+'[1]BR Bilans'!$AC11)/'[1]BR Bilans'!$Q11)*100</f>
        <v>46.34873033182739</v>
      </c>
      <c r="D12" s="6">
        <f>(('[1]BR Bilans'!$W11+'[1]BR Bilans'!$AC11)/('[1]BR Bilans'!$R11+'[1]BR Bilans'!$V11))*100</f>
        <v>86.388878806576898</v>
      </c>
      <c r="E12" s="3">
        <f>('[1]BR RZiS'!$O11+'[1]BR RZiS'!$K11)/'[1]BR RZiS'!$K11</f>
        <v>1.2834394904458599</v>
      </c>
      <c r="F12" s="3">
        <f>(('[1]BR Bilans'!$AC11+'[1]BR Bilans'!$W11)-'[1]BR Bilans'!$N11)/('[1]BR RZiS'!$I11+'[1]BR Rpp_Orlen'!$C11)</f>
        <v>8.3531761885737108</v>
      </c>
      <c r="G12" s="3">
        <f>'[1]BR Bilans'!$J11/'[1]BR Bilans'!$AC11</f>
        <v>1.5321215919774365</v>
      </c>
      <c r="H12" s="4">
        <f>('[1]BR Bilans'!$J11-'[1]BR Bilans'!$K11-'[1]BR Bilans'!$AI11)/'[1]BR Bilans'!$AC11</f>
        <v>0.67038545910372926</v>
      </c>
      <c r="I12" s="4">
        <f>'[1]BR Bilans'!$N11/'[1]BR Bilans'!$AC11</f>
        <v>0.18132246944531494</v>
      </c>
      <c r="J12" s="6">
        <f>(('[1]BR RZiS'!$I11/'[1]BR RZiS'!$B11))*100</f>
        <v>0.29248241153065796</v>
      </c>
      <c r="K12" s="6">
        <f>('[1]BR RZiS'!$Q11/'[1]BR Bilans'!$Q11)*100</f>
        <v>0.1752609440722854</v>
      </c>
      <c r="L12" s="6">
        <f>('[1]BR RZiS'!$Q11/'[1]BR Bilans'!$R11)*100</f>
        <v>0.34684754123631878</v>
      </c>
      <c r="M12" s="6">
        <f>('[1]BR RZiS'!$Q11/'[1]BR RZiS'!$B11)*100</f>
        <v>7.9049300413691348E-2</v>
      </c>
      <c r="N12" s="3">
        <f>('[1]BR Bilans'!$L11/'[1]BR RZiS'!$B11)*365</f>
        <v>25.09248768148402</v>
      </c>
      <c r="O12" s="3">
        <f>('[1]BR Bilans'!$AC11/'[1]BR RZiS'!$B11)*365</f>
        <v>51.14994773962917</v>
      </c>
      <c r="P12" s="3">
        <f>('[1]BR Bilans'!$K11/'[1]BR RZiS'!$B11)*365</f>
        <v>44.077758161840265</v>
      </c>
      <c r="Z12" s="8">
        <v>2011</v>
      </c>
      <c r="AA12" s="18">
        <v>2015003</v>
      </c>
      <c r="AB12" s="21">
        <f t="shared" si="0"/>
        <v>-0.17938094871566182</v>
      </c>
      <c r="AC12" s="18">
        <v>58731478</v>
      </c>
      <c r="AD12" s="21">
        <f t="shared" si="1"/>
        <v>0.14822515798304711</v>
      </c>
      <c r="AE12" s="18">
        <v>761106</v>
      </c>
      <c r="AF12" s="22">
        <f t="shared" si="2"/>
        <v>-0.87543679019292175</v>
      </c>
      <c r="AG12" s="21"/>
      <c r="AI12" s="2">
        <f>_xlfn.XLOOKUP(year,$Z$5:$Z$25,$AB$5:$AB$25)</f>
        <v>-0.55577889057168783</v>
      </c>
    </row>
    <row r="13" spans="2:38" x14ac:dyDescent="0.25">
      <c r="B13">
        <v>2014</v>
      </c>
      <c r="C13" s="6">
        <f>(('[1]BR Bilans'!$W12+'[1]BR Bilans'!$AC12)/'[1]BR Bilans'!$Q12)*100</f>
        <v>56.370251471375063</v>
      </c>
      <c r="D13" s="6">
        <f>(('[1]BR Bilans'!$W12+'[1]BR Bilans'!$AC12)/('[1]BR Bilans'!$R12+'[1]BR Bilans'!$V12))*100</f>
        <v>129.20141273422939</v>
      </c>
      <c r="E13" s="3">
        <f>('[1]BR RZiS'!$O12+'[1]BR RZiS'!$K12)/'[1]BR RZiS'!$K12</f>
        <v>-2.3065113816834302</v>
      </c>
      <c r="F13" s="3">
        <f>(('[1]BR Bilans'!$AC12+'[1]BR Bilans'!$W12)-'[1]BR Bilans'!$N12)/('[1]BR RZiS'!$I12+'[1]BR Rpp_Orlen'!$C12)</f>
        <v>-8.2360294117647062</v>
      </c>
      <c r="G13" s="3">
        <f>'[1]BR Bilans'!$J12/'[1]BR Bilans'!$AC12</f>
        <v>1.5500926321789938</v>
      </c>
      <c r="H13" s="4">
        <f>('[1]BR Bilans'!$J12-'[1]BR Bilans'!$K12-'[1]BR Bilans'!$AI12)/'[1]BR Bilans'!$AC12</f>
        <v>0.84972210346301835</v>
      </c>
      <c r="I13" s="4">
        <f>'[1]BR Bilans'!$N12/'[1]BR Bilans'!$AC12</f>
        <v>0.2805329913068263</v>
      </c>
      <c r="J13" s="6">
        <f>(('[1]BR RZiS'!$I12/'[1]BR RZiS'!$B12))*100</f>
        <v>-4.4097274224951324</v>
      </c>
      <c r="K13" s="6">
        <f>('[1]BR RZiS'!$Q12/'[1]BR Bilans'!$Q12)*100</f>
        <v>-12.472980203317283</v>
      </c>
      <c r="L13" s="6">
        <f>('[1]BR RZiS'!$Q12/'[1]BR Bilans'!$R12)*100</f>
        <v>-31.047893026477013</v>
      </c>
      <c r="M13" s="6">
        <f>('[1]BR RZiS'!$Q12/'[1]BR RZiS'!$B12)*100</f>
        <v>-5.455294293844541</v>
      </c>
      <c r="N13" s="3">
        <f>('[1]BR Bilans'!$L12/'[1]BR RZiS'!$B12)*365</f>
        <v>24.230380410363935</v>
      </c>
      <c r="O13" s="3">
        <f>('[1]BR Bilans'!$AC12/'[1]BR RZiS'!$B12)*365</f>
        <v>47.948273925415606</v>
      </c>
      <c r="P13" s="3">
        <f>('[1]BR Bilans'!$K12/'[1]BR RZiS'!$B12)*365</f>
        <v>33.581557960161746</v>
      </c>
      <c r="Z13" s="9">
        <v>2012</v>
      </c>
      <c r="AA13" s="17">
        <v>2169990</v>
      </c>
      <c r="AB13" s="21">
        <f t="shared" si="0"/>
        <v>7.6916510794276735E-2</v>
      </c>
      <c r="AC13" s="17">
        <v>52630780</v>
      </c>
      <c r="AD13" s="21">
        <f t="shared" si="1"/>
        <v>-0.10387441637344798</v>
      </c>
      <c r="AE13" s="17">
        <v>3089185</v>
      </c>
      <c r="AF13" s="22">
        <f t="shared" si="2"/>
        <v>3.0588104679243102</v>
      </c>
      <c r="AG13" s="21"/>
    </row>
    <row r="14" spans="2:38" x14ac:dyDescent="0.25">
      <c r="B14">
        <v>2015</v>
      </c>
      <c r="C14" s="6">
        <f>(('[1]BR Bilans'!$W13+'[1]BR Bilans'!$AC13)/'[1]BR Bilans'!$Q13)*100</f>
        <v>49.635415584685376</v>
      </c>
      <c r="D14" s="6">
        <f>(('[1]BR Bilans'!$W13+'[1]BR Bilans'!$AC13)/('[1]BR Bilans'!$R13+'[1]BR Bilans'!$V13))*100</f>
        <v>98.552219105758127</v>
      </c>
      <c r="E14" s="3">
        <f>('[1]BR RZiS'!$O13+'[1]BR RZiS'!$K13)/'[1]BR RZiS'!$K13</f>
        <v>4.583333333333333</v>
      </c>
      <c r="F14" s="3">
        <f>(('[1]BR Bilans'!$AC13+'[1]BR Bilans'!$W13)-'[1]BR Bilans'!$N13)/('[1]BR RZiS'!$I13+'[1]BR Rpp_Orlen'!$C13)</f>
        <v>3.4554931836407379</v>
      </c>
      <c r="G14" s="3">
        <f>'[1]BR Bilans'!$J13/'[1]BR Bilans'!$AC13</f>
        <v>1.520196107127177</v>
      </c>
      <c r="H14" s="4">
        <f>('[1]BR Bilans'!$J13-'[1]BR Bilans'!$K13-'[1]BR Bilans'!$AI13)/'[1]BR Bilans'!$AC13</f>
        <v>0.73613346992536222</v>
      </c>
      <c r="I14" s="4">
        <f>'[1]BR Bilans'!$N13/'[1]BR Bilans'!$AC13</f>
        <v>0.17181325918337481</v>
      </c>
      <c r="J14" s="6">
        <f>(('[1]BR RZiS'!$I13/'[1]BR RZiS'!$B13))*100</f>
        <v>4.9130592284006518</v>
      </c>
      <c r="K14" s="6">
        <f>('[1]BR RZiS'!$Q13/'[1]BR Bilans'!$Q13)*100</f>
        <v>6.7162473772773543</v>
      </c>
      <c r="L14" s="6">
        <f>('[1]BR RZiS'!$Q13/'[1]BR Bilans'!$R13)*100</f>
        <v>14.580796464168133</v>
      </c>
      <c r="M14" s="6">
        <f>('[1]BR RZiS'!$Q13/'[1]BR RZiS'!$B13)*100</f>
        <v>3.6598895127694258</v>
      </c>
      <c r="N14" s="3">
        <f>('[1]BR Bilans'!$L13/'[1]BR RZiS'!$B13)*365</f>
        <v>27.440284821590293</v>
      </c>
      <c r="O14" s="3">
        <f>('[1]BR Bilans'!$AC13/'[1]BR RZiS'!$B13)*365</f>
        <v>56.467238724868686</v>
      </c>
      <c r="P14" s="3">
        <f>('[1]BR Bilans'!$K13/'[1]BR RZiS'!$B13)*365</f>
        <v>44.273852110124977</v>
      </c>
      <c r="Z14" s="8">
        <v>2013</v>
      </c>
      <c r="AA14" s="18">
        <v>90000</v>
      </c>
      <c r="AB14" s="21">
        <f t="shared" si="0"/>
        <v>-0.95852515449379949</v>
      </c>
      <c r="AC14" s="18">
        <v>51352000</v>
      </c>
      <c r="AD14" s="21">
        <f t="shared" si="1"/>
        <v>-2.429718883132646E-2</v>
      </c>
      <c r="AE14" s="18">
        <v>5671000</v>
      </c>
      <c r="AF14" s="22">
        <f t="shared" si="2"/>
        <v>0.83575926983977977</v>
      </c>
      <c r="AG14" s="21"/>
      <c r="AI14" t="s">
        <v>35</v>
      </c>
    </row>
    <row r="15" spans="2:38" x14ac:dyDescent="0.25">
      <c r="B15">
        <v>2016</v>
      </c>
      <c r="C15" s="6">
        <f>(('[1]BR Bilans'!$W14+'[1]BR Bilans'!$AC14)/'[1]BR Bilans'!$Q14)*100</f>
        <v>47.288468114976872</v>
      </c>
      <c r="D15" s="6">
        <f>(('[1]BR Bilans'!$W14+'[1]BR Bilans'!$AC14)/('[1]BR Bilans'!$R14+'[1]BR Bilans'!$V14))*100</f>
        <v>89.711807689681081</v>
      </c>
      <c r="E15" s="3">
        <f>('[1]BR RZiS'!$O14+'[1]BR RZiS'!$K14)/'[1]BR RZiS'!$K14</f>
        <v>8.712206047032474</v>
      </c>
      <c r="F15" s="3">
        <f>(('[1]BR Bilans'!$AC14+'[1]BR Bilans'!$W14)-'[1]BR Bilans'!$N14)/('[1]BR RZiS'!$I14+'[1]BR Rpp_Orlen'!$C14)</f>
        <v>2.1988176726820163</v>
      </c>
      <c r="G15" s="3">
        <f>'[1]BR Bilans'!$J14/'[1]BR Bilans'!$AC14</f>
        <v>1.5184405270441008</v>
      </c>
      <c r="H15" s="4">
        <f>('[1]BR Bilans'!$J14-'[1]BR Bilans'!$K14-'[1]BR Bilans'!$AI14)/'[1]BR Bilans'!$AC14</f>
        <v>0.8456771554058119</v>
      </c>
      <c r="I15" s="4">
        <f>'[1]BR Bilans'!$N14/'[1]BR Bilans'!$AC14</f>
        <v>0.305156127790145</v>
      </c>
      <c r="J15" s="6">
        <f>(('[1]BR RZiS'!$I14/'[1]BR RZiS'!$B14))*100</f>
        <v>9.4679019018767363</v>
      </c>
      <c r="K15" s="6">
        <f>('[1]BR RZiS'!$Q14/'[1]BR Bilans'!$Q14)*100</f>
        <v>10.331359455713745</v>
      </c>
      <c r="L15" s="6">
        <f>('[1]BR RZiS'!$Q14/'[1]BR Bilans'!$R14)*100</f>
        <v>21.446719473920194</v>
      </c>
      <c r="M15" s="6">
        <f>('[1]BR RZiS'!$Q14/'[1]BR RZiS'!$B14)*100</f>
        <v>7.2153155757796679</v>
      </c>
      <c r="N15" s="3">
        <f>('[1]BR Bilans'!$L14/'[1]BR RZiS'!$B14)*365</f>
        <v>39.797493494902767</v>
      </c>
      <c r="O15" s="3">
        <f>('[1]BR Bilans'!$AC14/'[1]BR RZiS'!$B14)*365</f>
        <v>76.259411964350804</v>
      </c>
      <c r="P15" s="3">
        <f>('[1]BR Bilans'!$K14/'[1]BR RZiS'!$B14)*365</f>
        <v>51.304539112289923</v>
      </c>
      <c r="Z15" s="9">
        <v>2014</v>
      </c>
      <c r="AA15" s="17">
        <v>-5828000</v>
      </c>
      <c r="AB15" s="21">
        <f t="shared" si="0"/>
        <v>-65.75555555555556</v>
      </c>
      <c r="AC15" s="17">
        <v>46725000</v>
      </c>
      <c r="AD15" s="21">
        <f t="shared" si="1"/>
        <v>-9.0103598691384956E-2</v>
      </c>
      <c r="AE15" s="17">
        <v>3187000</v>
      </c>
      <c r="AF15" s="22">
        <f t="shared" si="2"/>
        <v>-0.43801798624581201</v>
      </c>
      <c r="AG15" s="21"/>
      <c r="AI15" s="2">
        <f>_xlfn.XLOOKUP(year,$Z$5:$Z$25,$AD$5:$AD$25)</f>
        <v>0.35967731829583316</v>
      </c>
    </row>
    <row r="16" spans="2:38" x14ac:dyDescent="0.25">
      <c r="B16">
        <v>2017</v>
      </c>
      <c r="C16" s="6">
        <f>(('[1]BR Bilans'!$W15+'[1]BR Bilans'!$AC15)/'[1]BR Bilans'!$Q15)*100</f>
        <v>41.957338784122378</v>
      </c>
      <c r="D16" s="6">
        <f>(('[1]BR Bilans'!$W15+'[1]BR Bilans'!$AC15)/('[1]BR Bilans'!$R15+'[1]BR Bilans'!$V15))*100</f>
        <v>72.287069381727292</v>
      </c>
      <c r="E16" s="3">
        <f>('[1]BR RZiS'!$O15+'[1]BR RZiS'!$K15)/'[1]BR RZiS'!$K15</f>
        <v>6.1276470588235297</v>
      </c>
      <c r="F16" s="3">
        <f>(('[1]BR Bilans'!$AC15+'[1]BR Bilans'!$W15)-'[1]BR Bilans'!$N15)/('[1]BR RZiS'!$I15+'[1]BR Rpp_Orlen'!$C15)</f>
        <v>1.7339772522115906</v>
      </c>
      <c r="G16" s="3">
        <f>'[1]BR Bilans'!$J15/'[1]BR Bilans'!$AC15</f>
        <v>1.7655963862776218</v>
      </c>
      <c r="H16" s="4">
        <f>('[1]BR Bilans'!$J15-'[1]BR Bilans'!$K15-'[1]BR Bilans'!$AI15)/'[1]BR Bilans'!$AC15</f>
        <v>1.0062263459895007</v>
      </c>
      <c r="I16" s="4">
        <f>'[1]BR Bilans'!$N15/'[1]BR Bilans'!$AC15</f>
        <v>0.38115004272982544</v>
      </c>
      <c r="J16" s="6">
        <f>(('[1]BR RZiS'!$I15/'[1]BR RZiS'!$B15))*100</f>
        <v>9.0778490835115981</v>
      </c>
      <c r="K16" s="6">
        <f>('[1]BR RZiS'!$Q15/'[1]BR Bilans'!$Q15)*100</f>
        <v>11.824146116312804</v>
      </c>
      <c r="L16" s="6">
        <f>('[1]BR RZiS'!$Q15/'[1]BR Bilans'!$R15)*100</f>
        <v>22.27847314967233</v>
      </c>
      <c r="M16" s="6">
        <f>('[1]BR RZiS'!$Q15/'[1]BR RZiS'!$B15)*100</f>
        <v>7.5217063042657601</v>
      </c>
      <c r="N16" s="3">
        <f>('[1]BR Bilans'!$L15/'[1]BR RZiS'!$B15)*365</f>
        <v>36.735770311648004</v>
      </c>
      <c r="O16" s="3">
        <f>('[1]BR Bilans'!$AC15/'[1]BR RZiS'!$B15)*365</f>
        <v>62.701124113921402</v>
      </c>
      <c r="P16" s="3">
        <f>('[1]BR Bilans'!$K15/'[1]BR RZiS'!$B15)*365</f>
        <v>47.613355144498968</v>
      </c>
      <c r="Z16" s="8">
        <v>2015</v>
      </c>
      <c r="AA16" s="18">
        <v>3233000</v>
      </c>
      <c r="AB16" s="21">
        <f t="shared" si="0"/>
        <v>1.5547357584076871</v>
      </c>
      <c r="AC16" s="18">
        <v>48137000</v>
      </c>
      <c r="AD16" s="21">
        <f t="shared" si="1"/>
        <v>3.0219368646334937E-2</v>
      </c>
      <c r="AE16" s="18">
        <v>5354000</v>
      </c>
      <c r="AF16" s="22">
        <f t="shared" si="2"/>
        <v>0.67994979604643868</v>
      </c>
      <c r="AG16" s="21"/>
    </row>
    <row r="17" spans="2:35" x14ac:dyDescent="0.25">
      <c r="B17">
        <v>2018</v>
      </c>
      <c r="C17" s="6">
        <f>(('[1]BR Bilans'!$W16+'[1]BR Bilans'!$AC16)/'[1]BR Bilans'!$Q16)*100</f>
        <v>44.33009011260171</v>
      </c>
      <c r="D17" s="6">
        <f>(('[1]BR Bilans'!$W16+'[1]BR Bilans'!$AC16)/('[1]BR Bilans'!$R16+'[1]BR Bilans'!$V16))*100</f>
        <v>79.630253043819792</v>
      </c>
      <c r="E17" s="3">
        <f>('[1]BR RZiS'!$O16+'[1]BR RZiS'!$K16)/'[1]BR RZiS'!$K16</f>
        <v>5.6137112722478575</v>
      </c>
      <c r="F17" s="3">
        <f>(('[1]BR Bilans'!$AC16+'[1]BR Bilans'!$W16)-'[1]BR Bilans'!$N16)/('[1]BR RZiS'!$I16+'[1]BR Rpp_Orlen'!$C16)</f>
        <v>2.4747340425531914</v>
      </c>
      <c r="G17" s="3">
        <f>'[1]BR Bilans'!$J16/'[1]BR Bilans'!$AC16</f>
        <v>1.7850633211030891</v>
      </c>
      <c r="H17" s="4">
        <f>('[1]BR Bilans'!$J16-'[1]BR Bilans'!$K16-'[1]BR Bilans'!$AI16)/'[1]BR Bilans'!$AC16</f>
        <v>0.93780329033021659</v>
      </c>
      <c r="I17" s="4">
        <f>'[1]BR Bilans'!$N16/'[1]BR Bilans'!$AC16</f>
        <v>0.24807669546691916</v>
      </c>
      <c r="J17" s="6">
        <f>(('[1]BR RZiS'!$I16/'[1]BR RZiS'!$B16))*100</f>
        <v>6.4745775071554874</v>
      </c>
      <c r="K17" s="6">
        <f>('[1]BR RZiS'!$Q16/'[1]BR Bilans'!$Q16)*100</f>
        <v>8.6067685964610892</v>
      </c>
      <c r="L17" s="6">
        <f>('[1]BR RZiS'!$Q16/'[1]BR Bilans'!$R16)*100</f>
        <v>15.465566593702643</v>
      </c>
      <c r="M17" s="6">
        <f>('[1]BR RZiS'!$Q16/'[1]BR RZiS'!$B16)*100</f>
        <v>5.0234262483364631</v>
      </c>
      <c r="N17" s="3">
        <f>('[1]BR Bilans'!$L16/'[1]BR RZiS'!$B16)*365</f>
        <v>35.243696789601302</v>
      </c>
      <c r="O17" s="3">
        <f>('[1]BR Bilans'!$AC16/'[1]BR RZiS'!$B16)*365</f>
        <v>56.220899495013953</v>
      </c>
      <c r="P17" s="3">
        <f>('[1]BR Bilans'!$K16/'[1]BR RZiS'!$B16)*365</f>
        <v>47.633721036224095</v>
      </c>
      <c r="Z17" s="9">
        <v>2016</v>
      </c>
      <c r="AA17" s="17">
        <v>5740000</v>
      </c>
      <c r="AB17" s="21">
        <f t="shared" si="0"/>
        <v>0.77544076708939069</v>
      </c>
      <c r="AC17" s="17">
        <v>55559000</v>
      </c>
      <c r="AD17" s="21">
        <f t="shared" si="1"/>
        <v>0.15418493051083365</v>
      </c>
      <c r="AE17" s="17">
        <v>9331000</v>
      </c>
      <c r="AF17" s="22">
        <f t="shared" si="2"/>
        <v>0.74280911468061261</v>
      </c>
      <c r="AG17" s="21"/>
      <c r="AI17" t="s">
        <v>36</v>
      </c>
    </row>
    <row r="18" spans="2:35" x14ac:dyDescent="0.25">
      <c r="B18">
        <v>2019</v>
      </c>
      <c r="C18" s="6">
        <f>(('[1]BR Bilans'!$W17+'[1]BR Bilans'!$AC17)/'[1]BR Bilans'!$Q17)*100</f>
        <v>45.778208477289958</v>
      </c>
      <c r="D18" s="6">
        <f>(('[1]BR Bilans'!$W17+'[1]BR Bilans'!$AC17)/('[1]BR Bilans'!$R17+'[1]BR Bilans'!$V17))*100</f>
        <v>84.427694459553976</v>
      </c>
      <c r="E18" s="3">
        <f>('[1]BR RZiS'!$O17+'[1]BR RZiS'!$K17)/'[1]BR RZiS'!$K17</f>
        <v>6.940066592674806</v>
      </c>
      <c r="F18" s="3">
        <f>(('[1]BR Bilans'!$AC17+'[1]BR Bilans'!$W17)-'[1]BR Bilans'!$N17)/('[1]BR RZiS'!$I17+'[1]BR Rpp_Orlen'!$C17)</f>
        <v>2.9800473452823808</v>
      </c>
      <c r="G18" s="3">
        <f>'[1]BR Bilans'!$J17/'[1]BR Bilans'!$AC17</f>
        <v>1.7464442013129102</v>
      </c>
      <c r="H18" s="4">
        <f>('[1]BR Bilans'!$J17-'[1]BR Bilans'!$K17-'[1]BR Bilans'!$AI17)/'[1]BR Bilans'!$AC17</f>
        <v>0.9218271334792123</v>
      </c>
      <c r="I18" s="4">
        <f>'[1]BR Bilans'!$N17/'[1]BR Bilans'!$AC17</f>
        <v>0.33692560175054703</v>
      </c>
      <c r="J18" s="6">
        <f>(('[1]BR RZiS'!$I17/'[1]BR RZiS'!$B17))*100</f>
        <v>4.8245101301223885</v>
      </c>
      <c r="K18" s="6">
        <f>('[1]BR RZiS'!$Q17/'[1]BR Bilans'!$Q17)*100</f>
        <v>6.0363472936153473</v>
      </c>
      <c r="L18" s="6">
        <f>('[1]BR RZiS'!$Q17/'[1]BR Bilans'!$R17)*100</f>
        <v>11.135869001969116</v>
      </c>
      <c r="M18" s="6">
        <f>('[1]BR RZiS'!$Q17/'[1]BR RZiS'!$B17)*100</f>
        <v>3.8650036419880762</v>
      </c>
      <c r="N18" s="3">
        <f>('[1]BR Bilans'!$L17/'[1]BR RZiS'!$B17)*365</f>
        <v>32.64232979326097</v>
      </c>
      <c r="O18" s="3">
        <f>('[1]BR Bilans'!$AC17/'[1]BR RZiS'!$B17)*365</f>
        <v>60.000179851263006</v>
      </c>
      <c r="P18" s="3">
        <f>('[1]BR Bilans'!$K17/'[1]BR RZiS'!$B17)*365</f>
        <v>49.477172378443029</v>
      </c>
      <c r="Z18" s="8">
        <v>2017</v>
      </c>
      <c r="AA18" s="18">
        <v>7173000</v>
      </c>
      <c r="AB18" s="21">
        <f t="shared" si="0"/>
        <v>0.24965156794425086</v>
      </c>
      <c r="AC18" s="18">
        <v>60664000</v>
      </c>
      <c r="AD18" s="21">
        <f t="shared" si="1"/>
        <v>9.1884303173203258E-2</v>
      </c>
      <c r="AE18" s="18">
        <v>8050000</v>
      </c>
      <c r="AF18" s="22">
        <f t="shared" si="2"/>
        <v>-0.13728432108027006</v>
      </c>
      <c r="AG18" s="21"/>
      <c r="AI18" s="2">
        <f>_xlfn.XLOOKUP(year, $Z$5:$Z$25,AF5:AF25)</f>
        <v>7.9969671570290484E-3</v>
      </c>
    </row>
    <row r="19" spans="2:35" x14ac:dyDescent="0.25">
      <c r="B19">
        <v>2020</v>
      </c>
      <c r="C19" s="6">
        <f>(('[1]BR Bilans'!$W18+'[1]BR Bilans'!$AC18)/'[1]BR Bilans'!$Q18)*100</f>
        <v>49.444689658463261</v>
      </c>
      <c r="D19" s="6">
        <f>(('[1]BR Bilans'!$W18+'[1]BR Bilans'!$AC18)/('[1]BR Bilans'!$R18+'[1]BR Bilans'!$V18))*100</f>
        <v>97.803157224096836</v>
      </c>
      <c r="E19" s="3">
        <f>('[1]BR RZiS'!$O18+'[1]BR RZiS'!$K18)/'[1]BR RZiS'!$K18</f>
        <v>2.5468501852832186</v>
      </c>
      <c r="F19" s="3">
        <f>(('[1]BR Bilans'!$AC18+'[1]BR Bilans'!$W18)-'[1]BR Bilans'!$N18)/('[1]BR RZiS'!$I18+'[1]BR Rpp_Orlen'!$C18)</f>
        <v>4.7242392198331569</v>
      </c>
      <c r="G19" s="3">
        <f>'[1]BR Bilans'!$J18/'[1]BR Bilans'!$AC18</f>
        <v>1.0737654859535857</v>
      </c>
      <c r="H19" s="4">
        <f>('[1]BR Bilans'!$J18-'[1]BR Bilans'!$K18-'[1]BR Bilans'!$AI18)/'[1]BR Bilans'!$AC18</f>
        <v>0.53812598150410051</v>
      </c>
      <c r="I19" s="4">
        <f>'[1]BR Bilans'!$N18/'[1]BR Bilans'!$AC18</f>
        <v>5.4091781538998428E-2</v>
      </c>
      <c r="J19" s="6">
        <f>(('[1]BR RZiS'!$I18/'[1]BR RZiS'!$B18))*100</f>
        <v>4.6112787189603157</v>
      </c>
      <c r="K19" s="6">
        <f>('[1]BR RZiS'!$Q18/'[1]BR Bilans'!$Q18)*100</f>
        <v>3.3700359072852426</v>
      </c>
      <c r="L19" s="6">
        <f>('[1]BR RZiS'!$Q18/'[1]BR Bilans'!$R18)*100</f>
        <v>6.7915184152322343</v>
      </c>
      <c r="M19" s="6">
        <f>('[1]BR RZiS'!$Q18/'[1]BR RZiS'!$B18)*100</f>
        <v>3.2780227430958457</v>
      </c>
      <c r="N19" s="3">
        <f>('[1]BR Bilans'!$L18/'[1]BR RZiS'!$B18)*365</f>
        <v>42.730157809236481</v>
      </c>
      <c r="O19" s="3">
        <f>('[1]BR Bilans'!$AC18/'[1]BR RZiS'!$B18)*365</f>
        <v>97.090508238570436</v>
      </c>
      <c r="P19" s="3">
        <f>('[1]BR Bilans'!$K18/'[1]BR RZiS'!$B18)*365</f>
        <v>52.005511719656532</v>
      </c>
      <c r="Z19" s="9">
        <v>2018</v>
      </c>
      <c r="AA19" s="17">
        <v>5511000</v>
      </c>
      <c r="AB19" s="21">
        <f t="shared" si="0"/>
        <v>-0.23170221664575491</v>
      </c>
      <c r="AC19" s="17">
        <v>64031000</v>
      </c>
      <c r="AD19" s="21">
        <f t="shared" si="1"/>
        <v>5.5502439667677698E-2</v>
      </c>
      <c r="AE19" s="17">
        <v>4979000</v>
      </c>
      <c r="AF19" s="22">
        <f t="shared" si="2"/>
        <v>-0.38149068322981367</v>
      </c>
      <c r="AG19" s="21"/>
    </row>
    <row r="20" spans="2:35" x14ac:dyDescent="0.25">
      <c r="B20">
        <v>2021</v>
      </c>
      <c r="C20" s="6">
        <f>(('[1]BR Bilans'!$W19+'[1]BR Bilans'!$AC19)/'[1]BR Bilans'!$Q19)*100</f>
        <v>50.748449706802553</v>
      </c>
      <c r="D20" s="6">
        <f>(('[1]BR Bilans'!$W19+'[1]BR Bilans'!$AC19)/('[1]BR Bilans'!$R19+'[1]BR Bilans'!$V19))*100</f>
        <v>103.03929400129333</v>
      </c>
      <c r="E20" s="3">
        <f>('[1]BR RZiS'!$O19+'[1]BR RZiS'!$K19)/'[1]BR RZiS'!$K19</f>
        <v>15.135330578512397</v>
      </c>
      <c r="F20" s="3">
        <f>(('[1]BR Bilans'!$AC19+'[1]BR Bilans'!$W19)-'[1]BR Bilans'!$N19)/('[1]BR RZiS'!$I19+'[1]BR Rpp_Orlen'!$C19)</f>
        <v>2.6693040445578053</v>
      </c>
      <c r="G20" s="3">
        <f>'[1]BR Bilans'!$J19/'[1]BR Bilans'!$AC19</f>
        <v>1.255999735912587</v>
      </c>
      <c r="H20" s="4">
        <f>('[1]BR Bilans'!$J19-'[1]BR Bilans'!$K19-'[1]BR Bilans'!$AI19)/'[1]BR Bilans'!$AC19</f>
        <v>0.64826857689895356</v>
      </c>
      <c r="I20" s="4">
        <f>'[1]BR Bilans'!$N19/'[1]BR Bilans'!$AC19</f>
        <v>9.5599643481992541E-2</v>
      </c>
      <c r="J20" s="6">
        <f>(('[1]BR RZiS'!$I19/'[1]BR RZiS'!$B19))*100</f>
        <v>10.560297241531586</v>
      </c>
      <c r="K20" s="6">
        <f>('[1]BR RZiS'!$Q19/'[1]BR Bilans'!$Q19)*100</f>
        <v>10.480169361335406</v>
      </c>
      <c r="L20" s="6">
        <f>('[1]BR RZiS'!$Q19/'[1]BR Bilans'!$R19)*100</f>
        <v>21.637302492892648</v>
      </c>
      <c r="M20" s="6">
        <f>('[1]BR RZiS'!$Q19/'[1]BR RZiS'!$B19)*100</f>
        <v>8.5182844656276409</v>
      </c>
      <c r="N20" s="3">
        <f>('[1]BR Bilans'!$L19/'[1]BR RZiS'!$B19)*365</f>
        <v>42.157818198430043</v>
      </c>
      <c r="O20" s="3">
        <f>('[1]BR Bilans'!$AC19/'[1]BR RZiS'!$B19)*365</f>
        <v>84.185022194135883</v>
      </c>
      <c r="P20" s="3">
        <f>('[1]BR Bilans'!$K19/'[1]BR RZiS'!$B19)*365</f>
        <v>51.161861109630657</v>
      </c>
      <c r="Z20" s="8">
        <v>2019</v>
      </c>
      <c r="AA20" s="18">
        <v>4298000</v>
      </c>
      <c r="AB20" s="21">
        <f t="shared" si="0"/>
        <v>-0.22010524405733986</v>
      </c>
      <c r="AC20" s="18">
        <v>71202000</v>
      </c>
      <c r="AD20" s="21">
        <f t="shared" si="1"/>
        <v>0.11199262857053614</v>
      </c>
      <c r="AE20" s="18">
        <v>9319000</v>
      </c>
      <c r="AF20" s="22">
        <f t="shared" si="2"/>
        <v>0.87166097609961835</v>
      </c>
      <c r="AG20" s="21"/>
    </row>
    <row r="21" spans="2:35" x14ac:dyDescent="0.25">
      <c r="B21">
        <v>2022</v>
      </c>
      <c r="C21" s="6">
        <f>(('[1]BR Bilans'!$W20+'[1]BR Bilans'!$AC20)/'[1]BR Bilans'!$Q20)*100</f>
        <v>49.707887943538466</v>
      </c>
      <c r="D21" s="6">
        <f>(('[1]BR Bilans'!$W20+'[1]BR Bilans'!$AC20)/('[1]BR Bilans'!$R20+'[1]BR Bilans'!$V20))*100</f>
        <v>98.838338480859235</v>
      </c>
      <c r="E21" s="3">
        <f>('[1]BR RZiS'!$O20+'[1]BR RZiS'!$K20)/'[1]BR RZiS'!$K20</f>
        <v>15.766460531102219</v>
      </c>
      <c r="F21" s="3">
        <f>(('[1]BR Bilans'!$AC20+'[1]BR Bilans'!$W20)-'[1]BR Bilans'!$N20)/('[1]BR RZiS'!$I20+'[1]BR Rpp_Orlen'!$C20)</f>
        <v>2.3723433043985094</v>
      </c>
      <c r="G21" s="3">
        <f>'[1]BR Bilans'!$J20/'[1]BR Bilans'!$AC20</f>
        <v>1.2703944073233373</v>
      </c>
      <c r="H21" s="4">
        <f>('[1]BR Bilans'!$J20-'[1]BR Bilans'!$K20-'[1]BR Bilans'!$AI20)/'[1]BR Bilans'!$AC20</f>
        <v>0.79319458209448301</v>
      </c>
      <c r="I21" s="4">
        <f>'[1]BR Bilans'!$N20/'[1]BR Bilans'!$AC20</f>
        <v>0.22808700192887668</v>
      </c>
      <c r="J21" s="6">
        <f>(('[1]BR RZiS'!$I20/'[1]BR RZiS'!$B20))*100</f>
        <v>14.804873830900261</v>
      </c>
      <c r="K21" s="6">
        <f>('[1]BR RZiS'!$Q20/'[1]BR Bilans'!$Q20)*100</f>
        <v>12.34912439824182</v>
      </c>
      <c r="L21" s="6">
        <f>('[1]BR RZiS'!$Q20/'[1]BR Bilans'!$R20)*100</f>
        <v>24.737399593962397</v>
      </c>
      <c r="M21" s="6">
        <f>('[1]BR RZiS'!$Q20/'[1]BR RZiS'!$B20)*100</f>
        <v>12.116124569468663</v>
      </c>
      <c r="N21" s="3">
        <f>('[1]BR Bilans'!$L20/'[1]BR RZiS'!$B20)*365</f>
        <v>49.849476156850315</v>
      </c>
      <c r="O21" s="3">
        <f>('[1]BR Bilans'!$AC20/'[1]BR RZiS'!$B20)*365</f>
        <v>123.39678416509345</v>
      </c>
      <c r="P21" s="3">
        <f>('[1]BR Bilans'!$K20/'[1]BR RZiS'!$B20)*365</f>
        <v>58.884923837385251</v>
      </c>
      <c r="Z21" s="9">
        <v>2020</v>
      </c>
      <c r="AA21" s="17">
        <v>2825000</v>
      </c>
      <c r="AB21" s="21">
        <f t="shared" si="0"/>
        <v>-0.34271754304327595</v>
      </c>
      <c r="AC21" s="17">
        <v>83827000</v>
      </c>
      <c r="AD21" s="21">
        <f t="shared" si="1"/>
        <v>0.17731243504395944</v>
      </c>
      <c r="AE21" s="17">
        <v>7247000</v>
      </c>
      <c r="AF21" s="22">
        <f t="shared" si="2"/>
        <v>-0.22234145294559501</v>
      </c>
      <c r="AG21" s="21"/>
    </row>
    <row r="22" spans="2:35" x14ac:dyDescent="0.25">
      <c r="B22">
        <v>2023</v>
      </c>
      <c r="C22" s="6">
        <f>(('[1]BR Bilans'!$W21+'[1]BR Bilans'!$AC21)/'[1]BR Bilans'!$Q21)*100</f>
        <v>42.016367752045966</v>
      </c>
      <c r="D22" s="6">
        <f>(('[1]BR Bilans'!$W21+'[1]BR Bilans'!$AC21)/('[1]BR Bilans'!$R21+'[1]BR Bilans'!$V21))*100</f>
        <v>72.462462462462469</v>
      </c>
      <c r="E22" s="3">
        <f>('[1]BR RZiS'!$O21+'[1]BR RZiS'!$K21)/'[1]BR RZiS'!$K21</f>
        <v>15.106095858538856</v>
      </c>
      <c r="F22" s="3">
        <f>(('[1]BR Bilans'!$AC21+'[1]BR Bilans'!$W21)-'[1]BR Bilans'!$N21)/('[1]BR RZiS'!$I21+'[1]BR Rpp_Orlen'!$C21)</f>
        <v>2.3117900416508896</v>
      </c>
      <c r="G22" s="3">
        <f>'[1]BR Bilans'!$J21/'[1]BR Bilans'!$AC21</f>
        <v>1.3459254561701883</v>
      </c>
      <c r="H22" s="4">
        <f>('[1]BR Bilans'!$J21-'[1]BR Bilans'!$K21-'[1]BR Bilans'!$AI21)/'[1]BR Bilans'!$AC21</f>
        <v>0.87326684154391632</v>
      </c>
      <c r="I22" s="4">
        <f>'[1]BR Bilans'!$N21/'[1]BR Bilans'!$AC21</f>
        <v>0.19185091234037646</v>
      </c>
      <c r="J22" s="6">
        <f>(('[1]BR RZiS'!$I21/'[1]BR RZiS'!$B21))*100</f>
        <v>7.5264173062529682</v>
      </c>
      <c r="K22" s="6">
        <f>('[1]BR RZiS'!$Q21/'[1]BR Bilans'!$Q21)*100</f>
        <v>7.8458463611655773</v>
      </c>
      <c r="L22" s="6">
        <f>('[1]BR RZiS'!$Q21/'[1]BR Bilans'!$R21)*100</f>
        <v>13.628831814415907</v>
      </c>
      <c r="M22" s="6">
        <f>('[1]BR RZiS'!$Q21/'[1]BR RZiS'!$B21)*100</f>
        <v>5.5603097913710178</v>
      </c>
      <c r="N22" s="3">
        <f>('[1]BR Bilans'!$L21/'[1]BR RZiS'!$B21)*365</f>
        <v>40.281824839645139</v>
      </c>
      <c r="O22" s="3">
        <f>('[1]BR Bilans'!$AC21/'[1]BR RZiS'!$B21)*365</f>
        <v>67.936351662030177</v>
      </c>
      <c r="P22" s="3">
        <f>('[1]BR Bilans'!$K21/'[1]BR RZiS'!$B21)*365</f>
        <v>32.110701859338405</v>
      </c>
      <c r="Z22" s="8">
        <v>2021</v>
      </c>
      <c r="AA22" s="18">
        <v>11188000</v>
      </c>
      <c r="AB22" s="21">
        <f t="shared" si="0"/>
        <v>2.9603539823008851</v>
      </c>
      <c r="AC22" s="18">
        <v>106754000</v>
      </c>
      <c r="AD22" s="21">
        <f t="shared" si="1"/>
        <v>0.27350376370381857</v>
      </c>
      <c r="AE22" s="18">
        <v>13296000</v>
      </c>
      <c r="AF22" s="22">
        <f t="shared" si="2"/>
        <v>0.83469021664136889</v>
      </c>
      <c r="AG22" s="21"/>
    </row>
    <row r="23" spans="2:35" x14ac:dyDescent="0.25">
      <c r="B23">
        <v>2024</v>
      </c>
      <c r="C23" s="6">
        <f>(('[1]BR Bilans'!$W22+'[1]BR Bilans'!$AC22)/'[1]BR Bilans'!$Q22)*100</f>
        <v>41.668252506260892</v>
      </c>
      <c r="D23" s="6">
        <f>(('[1]BR Bilans'!$W22+'[1]BR Bilans'!$AC22)/('[1]BR Bilans'!$R22+'[1]BR Bilans'!$V22))*100</f>
        <v>71.433231981835036</v>
      </c>
      <c r="E23" s="3">
        <f>('[1]BR RZiS'!$O22+'[1]BR RZiS'!$K22)/'[1]BR RZiS'!$K22</f>
        <v>10.55576323987539</v>
      </c>
      <c r="F23" s="3">
        <f>(('[1]BR Bilans'!$AC22+'[1]BR Bilans'!$W22)-'[1]BR Bilans'!$N22)/('[1]BR RZiS'!$I22+'[1]BR Rpp_Orlen'!$C22)</f>
        <v>3.3254957602783688</v>
      </c>
      <c r="G23" s="3">
        <f>'[1]BR Bilans'!$J22/'[1]BR Bilans'!$AC22</f>
        <v>1.1389036368462968</v>
      </c>
      <c r="H23" s="4">
        <f>('[1]BR Bilans'!$J22-'[1]BR Bilans'!$K22-'[1]BR Bilans'!$AI22)/'[1]BR Bilans'!$AC22</f>
        <v>0.78779532784709316</v>
      </c>
      <c r="I23" s="4">
        <f>'[1]BR Bilans'!$N22/'[1]BR Bilans'!$AC22</f>
        <v>0.18320281391027343</v>
      </c>
      <c r="J23" s="6">
        <f>(('[1]BR RZiS'!$I22/'[1]BR RZiS'!$B22))*100</f>
        <v>5.2753521672217598</v>
      </c>
      <c r="K23" s="6">
        <f>('[1]BR RZiS'!$Q22/'[1]BR Bilans'!$Q22)*100</f>
        <v>3.0269237502949662</v>
      </c>
      <c r="L23" s="6">
        <f>('[1]BR RZiS'!$Q22/'[1]BR Bilans'!$R22)*100</f>
        <v>5.2248807599826561</v>
      </c>
      <c r="M23" s="6">
        <f>('[1]BR RZiS'!$Q22/'[1]BR RZiS'!$B22)*100</f>
        <v>2.6782557156664319</v>
      </c>
      <c r="N23" s="3">
        <f>('[1]BR Bilans'!$L22/'[1]BR RZiS'!$B22)*365</f>
        <v>40.21862487245199</v>
      </c>
      <c r="O23" s="3">
        <f>('[1]BR Bilans'!$AC22/'[1]BR RZiS'!$B22)*365</f>
        <v>74.084870364071705</v>
      </c>
      <c r="P23" s="3">
        <f>('[1]BR Bilans'!$K22/'[1]BR RZiS'!$B22)*365</f>
        <v>26.011813555954429</v>
      </c>
      <c r="Z23" s="9">
        <v>2022</v>
      </c>
      <c r="AA23" s="17">
        <v>33630000</v>
      </c>
      <c r="AB23" s="21">
        <f t="shared" si="0"/>
        <v>2.0058991776903827</v>
      </c>
      <c r="AC23" s="17">
        <v>272327000</v>
      </c>
      <c r="AD23" s="21">
        <f t="shared" si="1"/>
        <v>1.5509770125709574</v>
      </c>
      <c r="AE23" s="17">
        <v>30951000</v>
      </c>
      <c r="AF23" s="22">
        <f t="shared" si="2"/>
        <v>1.3278429602888087</v>
      </c>
      <c r="AG23" s="21"/>
    </row>
    <row r="24" spans="2:35" ht="15.75" thickBot="1" x14ac:dyDescent="0.3">
      <c r="B24" s="25" t="s">
        <v>9</v>
      </c>
      <c r="C24" t="str" cm="1">
        <f t="array" ref="C24:C45">CHOOSE(MATCH('Orlen dashboard'!J4, {"Zadłużenie ogólne(%)","Zadłużenie do kapitału własnego(%)","Pokrycie odsetek zyskiem","Dług netto do EBITDA","Płynności bieżącej","Płynności szybkiej","Płynności natychmiastowej","Marża operacyjna EBIT(%)","ROA(Rentowność aktywów)(%)","ROE (Rentowność kapitału własnego)(%)","Marża netto(%)","Rotacja należności( w dniach)","Rotacja zobowiazań( w dniach)","Rotacja zapasów( w dniach)"}, 0),Wska_roczne8[[#All],[Zadłużenie ogólne(%)]],Wska_roczne8[[#All],[Zadłużenie do kapitału własnego(%)]],Wska_roczne8[[#All],[Pokrycie odsetek zyskiem]],Wska_roczne8[[#All],[Dług netto do EBITDA]],Wska_roczne8[[#All],[Płynności bieżącej]],Wska_roczne8[[#All],[Płynności szybkiej]],Wska_roczne8[[#All],[Płynności natychmiastowej]],Wska_roczne8[[#All],[Marża operacyjna EBIT(%)]],Wska_roczne8[[#All],[ROA(Rentowność aktywów)(%)]],Wska_roczne8[[#All],[ROE (Rentowność kapitału własnego)(%)]],Wska_roczne8[[#All],[Marża netto(%)]],Wska_roczne8[[#All],[Rotacja należności( w dniach)]],Wska_roczne8[[#All],[Rotacja zobowiazań( w dniach)]],Wska_roczne8[[#All],[Rotacja zapasów( w dniach)]])</f>
        <v>Płynności bieżącej</v>
      </c>
      <c r="D24" t="str" cm="1">
        <f t="array" ref="D24:D45">CHOOSE(MATCH('Orlen dashboard'!K4, {"Zadłużenie ogólne(%)","Zadłużenie do kapitału własnego(%)","Pokrycie odsetek zyskiem","Dług netto do EBITDA","Płynności bieżącej","Płynności szybkiej","Płynności natychmiastowej","Marża operacyjna EBIT(%)","ROA(Rentowność aktywów)(%)","ROE (Rentowność kapitału własnego)(%)","Marża netto(%)","Rotacja należności( w dniach)","Rotacja zobowiazań( w dniach)","Rotacja zapasów( w dniach)"}, 0),Wska_roczne8[[#All],[Zadłużenie ogólne(%)]],Wska_roczne8[[#All],[Zadłużenie do kapitału własnego(%)]],Wska_roczne8[[#All],[Pokrycie odsetek zyskiem]],Wska_roczne8[[#All],[Dług netto do EBITDA]],Wska_roczne8[[#All],[Płynności bieżącej]],Wska_roczne8[[#All],[Płynności szybkiej]],Wska_roczne8[[#All],[Płynności natychmiastowej]],Wska_roczne8[[#All],[Marża operacyjna EBIT(%)]],Wska_roczne8[[#All],[ROA(Rentowność aktywów)(%)]],Wska_roczne8[[#All],[ROE (Rentowność kapitału własnego)(%)]],Wska_roczne8[[#All],[Marża netto(%)]],Wska_roczne8[[#All],[Rotacja należności( w dniach)]],Wska_roczne8[[#All],[Rotacja zobowiazań( w dniach)]],Wska_roczne8[[#All],[Rotacja zapasów( w dniach)]])</f>
        <v>Płynności szybkiej</v>
      </c>
      <c r="E24" t="s">
        <v>17</v>
      </c>
      <c r="G24" t="s">
        <v>10</v>
      </c>
      <c r="Z24" s="8">
        <v>2023</v>
      </c>
      <c r="AA24" s="18">
        <v>20727000</v>
      </c>
      <c r="AB24" s="21">
        <f t="shared" si="0"/>
        <v>-0.38367528991971456</v>
      </c>
      <c r="AC24" s="18">
        <v>264178000</v>
      </c>
      <c r="AD24" s="21">
        <f t="shared" si="1"/>
        <v>-2.9923584514205348E-2</v>
      </c>
      <c r="AE24" s="18">
        <v>41914000</v>
      </c>
      <c r="AF24" s="22">
        <f t="shared" si="2"/>
        <v>0.3542050337630448</v>
      </c>
      <c r="AG24" s="21"/>
    </row>
    <row r="25" spans="2:35" x14ac:dyDescent="0.25">
      <c r="B25" s="9">
        <v>2004</v>
      </c>
      <c r="C25">
        <v>1.9801922283743079</v>
      </c>
      <c r="D25">
        <v>1.1800367458660901</v>
      </c>
      <c r="E25">
        <f t="shared" ref="E25:E45" si="3">IF($B25&lt;&gt;rok,$C25,NA())</f>
        <v>1.9801922283743079</v>
      </c>
      <c r="F25" t="e">
        <f t="shared" ref="F25:F45" si="4">IF($B25=rok,$C25,NA())</f>
        <v>#N/A</v>
      </c>
      <c r="G25">
        <f t="shared" ref="G25:G45" si="5">IF($B25&lt;&gt;rok,$D25,NA())</f>
        <v>1.1800367458660901</v>
      </c>
      <c r="H25" t="e">
        <f t="shared" ref="H25:H45" si="6">IF($B25=rok,$D25,NA())</f>
        <v>#N/A</v>
      </c>
      <c r="I25" s="34" t="s">
        <v>57</v>
      </c>
      <c r="L25" s="1" t="s">
        <v>9</v>
      </c>
      <c r="M25" s="1" t="s">
        <v>45</v>
      </c>
      <c r="N25" t="s">
        <v>6</v>
      </c>
      <c r="P25" t="s">
        <v>47</v>
      </c>
      <c r="Q25" t="s">
        <v>48</v>
      </c>
      <c r="Z25" s="28">
        <v>2024</v>
      </c>
      <c r="AA25" s="18">
        <v>7953000</v>
      </c>
      <c r="AB25" s="21">
        <f t="shared" si="0"/>
        <v>-0.61629758286293246</v>
      </c>
      <c r="AC25" s="18">
        <v>262742000</v>
      </c>
      <c r="AD25" s="21">
        <f t="shared" si="1"/>
        <v>-5.4357289403356825E-3</v>
      </c>
      <c r="AE25" s="18">
        <v>36634000</v>
      </c>
      <c r="AF25" s="22">
        <f t="shared" si="2"/>
        <v>-0.12597222884954909</v>
      </c>
    </row>
    <row r="26" spans="2:35" x14ac:dyDescent="0.25">
      <c r="B26" s="8">
        <v>2005</v>
      </c>
      <c r="C26">
        <v>1.4663337576979782</v>
      </c>
      <c r="D26">
        <v>0.75028582827065027</v>
      </c>
      <c r="E26">
        <f t="shared" si="3"/>
        <v>1.4663337576979782</v>
      </c>
      <c r="F26" t="e">
        <f t="shared" si="4"/>
        <v>#N/A</v>
      </c>
      <c r="G26">
        <f t="shared" si="5"/>
        <v>0.75028582827065027</v>
      </c>
      <c r="H26" t="e">
        <f t="shared" si="6"/>
        <v>#N/A</v>
      </c>
      <c r="I26" s="34"/>
      <c r="L26" s="9">
        <v>2004</v>
      </c>
      <c r="M26" s="26">
        <v>12947815</v>
      </c>
      <c r="N26" s="23">
        <v>7921660</v>
      </c>
      <c r="P26" cm="1">
        <f t="array" ref="P26:Q26">_xlfn.XLOOKUP(year,L25:L46,M25:N46)</f>
        <v>27660798</v>
      </c>
      <c r="Q26">
        <v>17758286</v>
      </c>
    </row>
    <row r="27" spans="2:35" ht="18.75" x14ac:dyDescent="0.25">
      <c r="B27" s="9">
        <v>2006</v>
      </c>
      <c r="C27">
        <v>1.193563303741846</v>
      </c>
      <c r="D27">
        <v>0.69627415031396567</v>
      </c>
      <c r="E27" t="e">
        <f t="shared" si="3"/>
        <v>#N/A</v>
      </c>
      <c r="F27">
        <f t="shared" si="4"/>
        <v>1.193563303741846</v>
      </c>
      <c r="G27" t="e">
        <f t="shared" si="5"/>
        <v>#N/A</v>
      </c>
      <c r="H27">
        <f t="shared" si="6"/>
        <v>0.69627415031396567</v>
      </c>
      <c r="I27" s="34"/>
      <c r="L27" s="8">
        <v>2005</v>
      </c>
      <c r="M27" s="27">
        <v>20885532</v>
      </c>
      <c r="N27" s="24">
        <v>12518779</v>
      </c>
      <c r="W27" t="s">
        <v>9</v>
      </c>
      <c r="X27" s="10" t="s">
        <v>59</v>
      </c>
      <c r="Y27" s="16" t="s">
        <v>60</v>
      </c>
      <c r="Z27" s="10" t="s">
        <v>61</v>
      </c>
    </row>
    <row r="28" spans="2:35" x14ac:dyDescent="0.25">
      <c r="B28" s="8">
        <v>2007</v>
      </c>
      <c r="C28">
        <v>1.5569589754139974</v>
      </c>
      <c r="D28">
        <v>0.72363717869034638</v>
      </c>
      <c r="E28">
        <f t="shared" si="3"/>
        <v>1.5569589754139974</v>
      </c>
      <c r="F28" t="e">
        <f t="shared" si="4"/>
        <v>#N/A</v>
      </c>
      <c r="G28">
        <f t="shared" si="5"/>
        <v>0.72363717869034638</v>
      </c>
      <c r="H28" t="e">
        <f t="shared" si="6"/>
        <v>#N/A</v>
      </c>
      <c r="I28" s="34"/>
      <c r="L28" s="9">
        <v>2006</v>
      </c>
      <c r="M28" s="26">
        <v>27660798</v>
      </c>
      <c r="N28" s="23">
        <v>17758286</v>
      </c>
      <c r="W28" cm="1">
        <f t="array" ref="W28:W48">Z5:Z25</f>
        <v>2004</v>
      </c>
      <c r="X28" s="17">
        <v>2537596</v>
      </c>
      <c r="Y28" s="17">
        <v>20869475</v>
      </c>
      <c r="Z28" s="17">
        <v>3636845</v>
      </c>
      <c r="AA28" cm="1">
        <f t="array" ref="AA28:AA48">_xlfn.XLOOKUP(wykresy,X27:Z27,X28:Z48)</f>
        <v>3636845</v>
      </c>
      <c r="AB28">
        <f t="shared" ref="AB28:AB48" si="7">IF($W28&lt;&gt;rok,$AA28,NA())</f>
        <v>3636845</v>
      </c>
      <c r="AC28" t="e">
        <f t="shared" ref="AC28:AC48" si="8">IF($W28=rok,$AA28,NA())</f>
        <v>#N/A</v>
      </c>
    </row>
    <row r="29" spans="2:35" x14ac:dyDescent="0.25">
      <c r="B29" s="9">
        <v>2008</v>
      </c>
      <c r="C29">
        <v>0.81132301005161644</v>
      </c>
      <c r="D29">
        <v>0.39458397954142438</v>
      </c>
      <c r="E29">
        <f t="shared" si="3"/>
        <v>0.81132301005161644</v>
      </c>
      <c r="F29" t="e">
        <f t="shared" si="4"/>
        <v>#N/A</v>
      </c>
      <c r="G29">
        <f t="shared" si="5"/>
        <v>0.39458397954142438</v>
      </c>
      <c r="H29" t="e">
        <f t="shared" si="6"/>
        <v>#N/A</v>
      </c>
      <c r="I29" s="34"/>
      <c r="L29" s="8">
        <v>2007</v>
      </c>
      <c r="M29" s="27">
        <v>26736337</v>
      </c>
      <c r="N29" s="24">
        <v>19366488</v>
      </c>
      <c r="W29">
        <v>2005</v>
      </c>
      <c r="X29" s="18">
        <v>4637776</v>
      </c>
      <c r="Y29" s="18">
        <v>33404311</v>
      </c>
      <c r="Z29" s="18">
        <v>3663889</v>
      </c>
      <c r="AA29">
        <v>3663889</v>
      </c>
      <c r="AB29">
        <f t="shared" si="7"/>
        <v>3663889</v>
      </c>
      <c r="AC29" t="e">
        <f t="shared" si="8"/>
        <v>#N/A</v>
      </c>
    </row>
    <row r="30" spans="2:35" x14ac:dyDescent="0.25">
      <c r="B30" s="8">
        <v>2009</v>
      </c>
      <c r="C30">
        <v>1.3726310462937141</v>
      </c>
      <c r="D30">
        <v>0.62250941478717026</v>
      </c>
      <c r="E30">
        <f t="shared" si="3"/>
        <v>1.3726310462937141</v>
      </c>
      <c r="F30" t="e">
        <f t="shared" si="4"/>
        <v>#N/A</v>
      </c>
      <c r="G30">
        <f t="shared" si="5"/>
        <v>0.62250941478717026</v>
      </c>
      <c r="H30" t="e">
        <f t="shared" si="6"/>
        <v>#N/A</v>
      </c>
      <c r="I30" s="34"/>
      <c r="L30" s="9">
        <v>2008</v>
      </c>
      <c r="M30" s="26">
        <v>29280856</v>
      </c>
      <c r="N30" s="23">
        <v>17694894</v>
      </c>
      <c r="W30">
        <v>2006</v>
      </c>
      <c r="X30" s="17">
        <v>2060198</v>
      </c>
      <c r="Y30" s="17">
        <v>45419084</v>
      </c>
      <c r="Z30" s="17">
        <v>3693189</v>
      </c>
      <c r="AA30">
        <v>3693189</v>
      </c>
      <c r="AB30" t="e">
        <f t="shared" si="7"/>
        <v>#N/A</v>
      </c>
      <c r="AC30">
        <f t="shared" si="8"/>
        <v>3693189</v>
      </c>
    </row>
    <row r="31" spans="2:35" x14ac:dyDescent="0.25">
      <c r="B31" s="9">
        <v>2010</v>
      </c>
      <c r="C31">
        <v>1.2756400729024506</v>
      </c>
      <c r="D31">
        <v>0.5802290213667326</v>
      </c>
      <c r="E31">
        <f t="shared" si="3"/>
        <v>1.2756400729024506</v>
      </c>
      <c r="F31" t="e">
        <f t="shared" si="4"/>
        <v>#N/A</v>
      </c>
      <c r="G31">
        <f t="shared" si="5"/>
        <v>0.5802290213667326</v>
      </c>
      <c r="H31" t="e">
        <f t="shared" si="6"/>
        <v>#N/A</v>
      </c>
      <c r="I31" s="34"/>
      <c r="L31" s="8">
        <v>2009</v>
      </c>
      <c r="M31" s="27">
        <v>29655024</v>
      </c>
      <c r="N31" s="24">
        <v>19433046</v>
      </c>
      <c r="W31">
        <v>2007</v>
      </c>
      <c r="X31" s="18">
        <v>2480426</v>
      </c>
      <c r="Y31" s="18">
        <v>46102825</v>
      </c>
      <c r="Z31" s="18">
        <v>1965066</v>
      </c>
      <c r="AA31">
        <v>1965066</v>
      </c>
      <c r="AB31">
        <f t="shared" si="7"/>
        <v>1965066</v>
      </c>
      <c r="AC31" t="e">
        <f t="shared" si="8"/>
        <v>#N/A</v>
      </c>
    </row>
    <row r="32" spans="2:35" x14ac:dyDescent="0.25">
      <c r="B32" s="8">
        <v>2011</v>
      </c>
      <c r="C32">
        <v>1.5208525622813502</v>
      </c>
      <c r="D32">
        <v>0.69832759066326489</v>
      </c>
      <c r="E32">
        <f t="shared" si="3"/>
        <v>1.5208525622813502</v>
      </c>
      <c r="F32" t="e">
        <f t="shared" si="4"/>
        <v>#N/A</v>
      </c>
      <c r="G32">
        <f t="shared" si="5"/>
        <v>0.69832759066326489</v>
      </c>
      <c r="H32" t="e">
        <f t="shared" si="6"/>
        <v>#N/A</v>
      </c>
      <c r="I32" s="34"/>
      <c r="L32" s="9">
        <v>2010</v>
      </c>
      <c r="M32" s="26">
        <v>30430874</v>
      </c>
      <c r="N32" s="23">
        <v>20718918</v>
      </c>
      <c r="W32">
        <v>2008</v>
      </c>
      <c r="X32" s="17">
        <v>-2526626</v>
      </c>
      <c r="Y32" s="17">
        <v>46975750</v>
      </c>
      <c r="Z32" s="17">
        <v>3616760</v>
      </c>
      <c r="AA32">
        <v>3616760</v>
      </c>
      <c r="AB32">
        <f t="shared" si="7"/>
        <v>3616760</v>
      </c>
      <c r="AC32" t="e">
        <f t="shared" si="8"/>
        <v>#N/A</v>
      </c>
    </row>
    <row r="33" spans="2:29" x14ac:dyDescent="0.25">
      <c r="B33" s="9">
        <v>2012</v>
      </c>
      <c r="C33">
        <v>1.706858578559582</v>
      </c>
      <c r="D33">
        <v>0.71454283712038558</v>
      </c>
      <c r="E33">
        <f t="shared" si="3"/>
        <v>1.706858578559582</v>
      </c>
      <c r="F33" t="e">
        <f t="shared" si="4"/>
        <v>#N/A</v>
      </c>
      <c r="G33">
        <f t="shared" si="5"/>
        <v>0.71454283712038558</v>
      </c>
      <c r="H33" t="e">
        <f t="shared" si="6"/>
        <v>#N/A</v>
      </c>
      <c r="I33" s="34"/>
      <c r="L33" s="8">
        <v>2011</v>
      </c>
      <c r="M33" s="27">
        <v>28599141</v>
      </c>
      <c r="N33" s="24">
        <v>30132337</v>
      </c>
      <c r="W33">
        <v>2009</v>
      </c>
      <c r="X33" s="18">
        <v>1300167</v>
      </c>
      <c r="Y33" s="18">
        <v>49088070</v>
      </c>
      <c r="Z33" s="18">
        <v>5161793</v>
      </c>
      <c r="AA33">
        <v>5161793</v>
      </c>
      <c r="AB33">
        <f t="shared" si="7"/>
        <v>5161793</v>
      </c>
      <c r="AC33" t="e">
        <f t="shared" si="8"/>
        <v>#N/A</v>
      </c>
    </row>
    <row r="34" spans="2:29" x14ac:dyDescent="0.25">
      <c r="B34" s="8">
        <v>2013</v>
      </c>
      <c r="C34">
        <v>1.5321215919774365</v>
      </c>
      <c r="D34">
        <v>0.67038545910372926</v>
      </c>
      <c r="E34">
        <f t="shared" si="3"/>
        <v>1.5321215919774365</v>
      </c>
      <c r="F34" t="e">
        <f t="shared" si="4"/>
        <v>#N/A</v>
      </c>
      <c r="G34">
        <f t="shared" si="5"/>
        <v>0.67038545910372926</v>
      </c>
      <c r="H34" t="e">
        <f t="shared" si="6"/>
        <v>#N/A</v>
      </c>
      <c r="I34" s="34"/>
      <c r="L34" s="9">
        <v>2012</v>
      </c>
      <c r="M34" s="26">
        <v>26810637</v>
      </c>
      <c r="N34" s="23">
        <v>25820143</v>
      </c>
      <c r="W34">
        <v>2010</v>
      </c>
      <c r="X34" s="17">
        <v>2455467</v>
      </c>
      <c r="Y34" s="17">
        <v>51149792</v>
      </c>
      <c r="Z34" s="17">
        <v>6110199</v>
      </c>
      <c r="AA34">
        <v>6110199</v>
      </c>
      <c r="AB34">
        <f t="shared" si="7"/>
        <v>6110199</v>
      </c>
      <c r="AC34" t="e">
        <f t="shared" si="8"/>
        <v>#N/A</v>
      </c>
    </row>
    <row r="35" spans="2:29" x14ac:dyDescent="0.25">
      <c r="B35" s="9">
        <v>2014</v>
      </c>
      <c r="C35">
        <v>1.5500926321789938</v>
      </c>
      <c r="D35">
        <v>0.84972210346301835</v>
      </c>
      <c r="E35">
        <f t="shared" si="3"/>
        <v>1.5500926321789938</v>
      </c>
      <c r="F35" t="e">
        <f t="shared" si="4"/>
        <v>#N/A</v>
      </c>
      <c r="G35">
        <f t="shared" si="5"/>
        <v>0.84972210346301835</v>
      </c>
      <c r="H35" t="e">
        <f t="shared" si="6"/>
        <v>#N/A</v>
      </c>
      <c r="I35" s="34"/>
      <c r="L35" s="8">
        <v>2013</v>
      </c>
      <c r="M35" s="27">
        <v>26907000</v>
      </c>
      <c r="N35" s="24">
        <v>24445000</v>
      </c>
      <c r="W35">
        <v>2011</v>
      </c>
      <c r="X35" s="18">
        <v>2015003</v>
      </c>
      <c r="Y35" s="18">
        <v>58731478</v>
      </c>
      <c r="Z35" s="18">
        <v>761106</v>
      </c>
      <c r="AA35">
        <v>761106</v>
      </c>
      <c r="AB35">
        <f t="shared" si="7"/>
        <v>761106</v>
      </c>
      <c r="AC35" t="e">
        <f t="shared" si="8"/>
        <v>#N/A</v>
      </c>
    </row>
    <row r="36" spans="2:29" x14ac:dyDescent="0.25">
      <c r="B36" s="8">
        <v>2015</v>
      </c>
      <c r="C36">
        <v>1.520196107127177</v>
      </c>
      <c r="D36">
        <v>0.73613346992536222</v>
      </c>
      <c r="E36">
        <f t="shared" si="3"/>
        <v>1.520196107127177</v>
      </c>
      <c r="F36" t="e">
        <f t="shared" si="4"/>
        <v>#N/A</v>
      </c>
      <c r="G36">
        <f t="shared" si="5"/>
        <v>0.73613346992536222</v>
      </c>
      <c r="H36" t="e">
        <f t="shared" si="6"/>
        <v>#N/A</v>
      </c>
      <c r="I36" s="34"/>
      <c r="L36" s="9">
        <v>2014</v>
      </c>
      <c r="M36" s="26">
        <v>24971000</v>
      </c>
      <c r="N36" s="23">
        <v>21754000</v>
      </c>
      <c r="W36">
        <v>2012</v>
      </c>
      <c r="X36" s="17">
        <v>2169990</v>
      </c>
      <c r="Y36" s="17">
        <v>52630780</v>
      </c>
      <c r="Z36" s="17">
        <v>3089185</v>
      </c>
      <c r="AA36">
        <v>3089185</v>
      </c>
      <c r="AB36">
        <f t="shared" si="7"/>
        <v>3089185</v>
      </c>
      <c r="AC36" t="e">
        <f t="shared" si="8"/>
        <v>#N/A</v>
      </c>
    </row>
    <row r="37" spans="2:29" x14ac:dyDescent="0.25">
      <c r="B37" s="9">
        <v>2016</v>
      </c>
      <c r="C37">
        <v>1.5184405270441008</v>
      </c>
      <c r="D37">
        <v>0.8456771554058119</v>
      </c>
      <c r="E37">
        <f t="shared" si="3"/>
        <v>1.5184405270441008</v>
      </c>
      <c r="F37" t="e">
        <f t="shared" si="4"/>
        <v>#N/A</v>
      </c>
      <c r="G37">
        <f t="shared" si="5"/>
        <v>0.8456771554058119</v>
      </c>
      <c r="H37" t="e">
        <f t="shared" si="6"/>
        <v>#N/A</v>
      </c>
      <c r="I37" s="34"/>
      <c r="L37" s="8">
        <v>2015</v>
      </c>
      <c r="M37" s="27">
        <v>27362000</v>
      </c>
      <c r="N37" s="24">
        <v>20775000</v>
      </c>
      <c r="W37">
        <v>2013</v>
      </c>
      <c r="X37" s="18">
        <v>90000</v>
      </c>
      <c r="Y37" s="18">
        <v>51352000</v>
      </c>
      <c r="Z37" s="18">
        <v>5671000</v>
      </c>
      <c r="AA37">
        <v>5671000</v>
      </c>
      <c r="AB37">
        <f t="shared" si="7"/>
        <v>5671000</v>
      </c>
      <c r="AC37" t="e">
        <f t="shared" si="8"/>
        <v>#N/A</v>
      </c>
    </row>
    <row r="38" spans="2:29" x14ac:dyDescent="0.25">
      <c r="B38" s="8">
        <v>2017</v>
      </c>
      <c r="C38">
        <v>1.7655963862776218</v>
      </c>
      <c r="D38">
        <v>1.0062263459895007</v>
      </c>
      <c r="E38">
        <f t="shared" si="3"/>
        <v>1.7655963862776218</v>
      </c>
      <c r="F38" t="e">
        <f t="shared" si="4"/>
        <v>#N/A</v>
      </c>
      <c r="G38">
        <f t="shared" si="5"/>
        <v>1.0062263459895007</v>
      </c>
      <c r="H38" t="e">
        <f t="shared" si="6"/>
        <v>#N/A</v>
      </c>
      <c r="I38" s="34"/>
      <c r="L38" s="9">
        <v>2016</v>
      </c>
      <c r="M38" s="26">
        <v>30321000</v>
      </c>
      <c r="N38" s="23">
        <v>25238000</v>
      </c>
      <c r="W38">
        <v>2014</v>
      </c>
      <c r="X38" s="17">
        <v>-5828000</v>
      </c>
      <c r="Y38" s="17">
        <v>46725000</v>
      </c>
      <c r="Z38" s="17">
        <v>3187000</v>
      </c>
      <c r="AA38">
        <v>3187000</v>
      </c>
      <c r="AB38">
        <f t="shared" si="7"/>
        <v>3187000</v>
      </c>
      <c r="AC38" t="e">
        <f t="shared" si="8"/>
        <v>#N/A</v>
      </c>
    </row>
    <row r="39" spans="2:29" x14ac:dyDescent="0.25">
      <c r="B39" s="9">
        <v>2018</v>
      </c>
      <c r="C39">
        <v>1.7850633211030891</v>
      </c>
      <c r="D39">
        <v>0.93780329033021659</v>
      </c>
      <c r="E39">
        <f t="shared" si="3"/>
        <v>1.7850633211030891</v>
      </c>
      <c r="F39" t="e">
        <f t="shared" si="4"/>
        <v>#N/A</v>
      </c>
      <c r="G39">
        <f t="shared" si="5"/>
        <v>0.93780329033021659</v>
      </c>
      <c r="H39" t="e">
        <f t="shared" si="6"/>
        <v>#N/A</v>
      </c>
      <c r="I39" s="34"/>
      <c r="L39" s="8">
        <v>2017</v>
      </c>
      <c r="M39" s="27">
        <v>31740000</v>
      </c>
      <c r="N39" s="24">
        <v>28924000</v>
      </c>
      <c r="W39">
        <v>2015</v>
      </c>
      <c r="X39" s="18">
        <v>3233000</v>
      </c>
      <c r="Y39" s="18">
        <v>48137000</v>
      </c>
      <c r="Z39" s="18">
        <v>5354000</v>
      </c>
      <c r="AA39">
        <v>5354000</v>
      </c>
      <c r="AB39">
        <f t="shared" si="7"/>
        <v>5354000</v>
      </c>
      <c r="AC39" t="e">
        <f t="shared" si="8"/>
        <v>#N/A</v>
      </c>
    </row>
    <row r="40" spans="2:29" x14ac:dyDescent="0.25">
      <c r="B40" s="8">
        <v>2019</v>
      </c>
      <c r="C40">
        <v>1.7464442013129102</v>
      </c>
      <c r="D40">
        <v>0.9218271334792123</v>
      </c>
      <c r="E40">
        <f t="shared" si="3"/>
        <v>1.7464442013129102</v>
      </c>
      <c r="F40" t="e">
        <f t="shared" si="4"/>
        <v>#N/A</v>
      </c>
      <c r="G40">
        <f t="shared" si="5"/>
        <v>0.9218271334792123</v>
      </c>
      <c r="H40" t="e">
        <f t="shared" si="6"/>
        <v>#N/A</v>
      </c>
      <c r="I40" s="34"/>
      <c r="L40" s="9">
        <v>2018</v>
      </c>
      <c r="M40" s="26">
        <v>33867000</v>
      </c>
      <c r="N40" s="23">
        <v>30164000</v>
      </c>
      <c r="W40">
        <v>2016</v>
      </c>
      <c r="X40" s="17">
        <v>5740000</v>
      </c>
      <c r="Y40" s="17">
        <v>55559000</v>
      </c>
      <c r="Z40" s="17">
        <v>9331000</v>
      </c>
      <c r="AA40">
        <v>9331000</v>
      </c>
      <c r="AB40">
        <f t="shared" si="7"/>
        <v>9331000</v>
      </c>
      <c r="AC40" t="e">
        <f t="shared" si="8"/>
        <v>#N/A</v>
      </c>
    </row>
    <row r="41" spans="2:29" x14ac:dyDescent="0.25">
      <c r="B41" s="9">
        <v>2020</v>
      </c>
      <c r="C41">
        <v>1.0737654859535857</v>
      </c>
      <c r="D41">
        <v>0.53812598150410051</v>
      </c>
      <c r="E41">
        <f t="shared" si="3"/>
        <v>1.0737654859535857</v>
      </c>
      <c r="F41" t="e">
        <f t="shared" si="4"/>
        <v>#N/A</v>
      </c>
      <c r="G41">
        <f t="shared" si="5"/>
        <v>0.53812598150410051</v>
      </c>
      <c r="H41" t="e">
        <f t="shared" si="6"/>
        <v>#N/A</v>
      </c>
      <c r="I41" s="34"/>
      <c r="L41" s="8">
        <v>2019</v>
      </c>
      <c r="M41" s="27">
        <v>39277000</v>
      </c>
      <c r="N41" s="24">
        <v>31925000</v>
      </c>
      <c r="W41">
        <v>2017</v>
      </c>
      <c r="X41" s="18">
        <v>7173000</v>
      </c>
      <c r="Y41" s="18">
        <v>60664000</v>
      </c>
      <c r="Z41" s="18">
        <v>8050000</v>
      </c>
      <c r="AA41">
        <v>8050000</v>
      </c>
      <c r="AB41">
        <f t="shared" si="7"/>
        <v>8050000</v>
      </c>
      <c r="AC41" t="e">
        <f t="shared" si="8"/>
        <v>#N/A</v>
      </c>
    </row>
    <row r="42" spans="2:29" x14ac:dyDescent="0.25">
      <c r="B42" s="8">
        <v>2021</v>
      </c>
      <c r="C42">
        <v>1.255999735912587</v>
      </c>
      <c r="D42">
        <v>0.64826857689895356</v>
      </c>
      <c r="E42">
        <f t="shared" si="3"/>
        <v>1.255999735912587</v>
      </c>
      <c r="F42" t="e">
        <f t="shared" si="4"/>
        <v>#N/A</v>
      </c>
      <c r="G42">
        <f t="shared" si="5"/>
        <v>0.64826857689895356</v>
      </c>
      <c r="H42" t="e">
        <f t="shared" si="6"/>
        <v>#N/A</v>
      </c>
      <c r="I42" s="34"/>
      <c r="L42" s="9">
        <v>2020</v>
      </c>
      <c r="M42" s="26">
        <v>59212000</v>
      </c>
      <c r="N42" s="23">
        <v>24615000</v>
      </c>
      <c r="W42">
        <v>2018</v>
      </c>
      <c r="X42" s="17">
        <v>5511000</v>
      </c>
      <c r="Y42" s="17">
        <v>64031000</v>
      </c>
      <c r="Z42" s="17">
        <v>4979000</v>
      </c>
      <c r="AA42">
        <v>4979000</v>
      </c>
      <c r="AB42">
        <f t="shared" si="7"/>
        <v>4979000</v>
      </c>
      <c r="AC42" t="e">
        <f t="shared" si="8"/>
        <v>#N/A</v>
      </c>
    </row>
    <row r="43" spans="2:29" x14ac:dyDescent="0.25">
      <c r="B43" s="9">
        <v>2022</v>
      </c>
      <c r="C43">
        <v>1.2703944073233373</v>
      </c>
      <c r="D43">
        <v>0.79319458209448301</v>
      </c>
      <c r="E43">
        <f t="shared" si="3"/>
        <v>1.2703944073233373</v>
      </c>
      <c r="F43" t="e">
        <f t="shared" si="4"/>
        <v>#N/A</v>
      </c>
      <c r="G43">
        <f t="shared" si="5"/>
        <v>0.79319458209448301</v>
      </c>
      <c r="H43" t="e">
        <f t="shared" si="6"/>
        <v>#N/A</v>
      </c>
      <c r="I43" s="34"/>
      <c r="L43" s="8">
        <v>2021</v>
      </c>
      <c r="M43" s="27">
        <v>68706000</v>
      </c>
      <c r="N43" s="24">
        <v>38048000</v>
      </c>
      <c r="W43">
        <v>2019</v>
      </c>
      <c r="X43" s="18">
        <v>4298000</v>
      </c>
      <c r="Y43" s="18">
        <v>71202000</v>
      </c>
      <c r="Z43" s="18">
        <v>9319000</v>
      </c>
      <c r="AA43">
        <v>9319000</v>
      </c>
      <c r="AB43">
        <f t="shared" si="7"/>
        <v>9319000</v>
      </c>
      <c r="AC43" t="e">
        <f t="shared" si="8"/>
        <v>#N/A</v>
      </c>
    </row>
    <row r="44" spans="2:29" x14ac:dyDescent="0.25">
      <c r="B44" s="8">
        <v>2023</v>
      </c>
      <c r="C44">
        <v>1.3459254561701883</v>
      </c>
      <c r="D44">
        <v>0.87326684154391632</v>
      </c>
      <c r="E44">
        <f t="shared" si="3"/>
        <v>1.3459254561701883</v>
      </c>
      <c r="F44" t="e">
        <f t="shared" si="4"/>
        <v>#N/A</v>
      </c>
      <c r="G44">
        <f t="shared" si="5"/>
        <v>0.87326684154391632</v>
      </c>
      <c r="H44" t="e">
        <f t="shared" si="6"/>
        <v>#N/A</v>
      </c>
      <c r="I44" s="34"/>
      <c r="L44" s="9">
        <v>2022</v>
      </c>
      <c r="M44" s="26">
        <v>153117000</v>
      </c>
      <c r="N44" s="23">
        <v>119210000</v>
      </c>
      <c r="W44">
        <v>2020</v>
      </c>
      <c r="X44" s="17">
        <v>2825000</v>
      </c>
      <c r="Y44" s="17">
        <v>83827000</v>
      </c>
      <c r="Z44" s="17">
        <v>7247000</v>
      </c>
      <c r="AA44">
        <v>7247000</v>
      </c>
      <c r="AB44">
        <f t="shared" si="7"/>
        <v>7247000</v>
      </c>
      <c r="AC44" t="e">
        <f t="shared" si="8"/>
        <v>#N/A</v>
      </c>
    </row>
    <row r="45" spans="2:29" x14ac:dyDescent="0.25">
      <c r="B45" s="28">
        <v>2024</v>
      </c>
      <c r="C45">
        <v>1.1389036368462968</v>
      </c>
      <c r="D45">
        <v>0.78779532784709316</v>
      </c>
      <c r="E45">
        <f t="shared" si="3"/>
        <v>1.1389036368462968</v>
      </c>
      <c r="F45" t="e">
        <f t="shared" si="4"/>
        <v>#N/A</v>
      </c>
      <c r="G45">
        <f t="shared" si="5"/>
        <v>0.78779532784709316</v>
      </c>
      <c r="H45" t="e">
        <f t="shared" si="6"/>
        <v>#N/A</v>
      </c>
      <c r="I45" s="34"/>
      <c r="L45" s="8">
        <v>2023</v>
      </c>
      <c r="M45" s="27">
        <v>170795000</v>
      </c>
      <c r="N45" s="24">
        <v>93383000</v>
      </c>
      <c r="W45">
        <v>2021</v>
      </c>
      <c r="X45" s="18">
        <v>11188000</v>
      </c>
      <c r="Y45" s="18">
        <v>106754000</v>
      </c>
      <c r="Z45" s="18">
        <v>13296000</v>
      </c>
      <c r="AA45">
        <v>13296000</v>
      </c>
      <c r="AB45">
        <f t="shared" si="7"/>
        <v>13296000</v>
      </c>
      <c r="AC45" t="e">
        <f t="shared" si="8"/>
        <v>#N/A</v>
      </c>
    </row>
    <row r="46" spans="2:29" x14ac:dyDescent="0.25">
      <c r="L46" s="9">
        <v>2024</v>
      </c>
      <c r="M46" s="26">
        <v>194098000</v>
      </c>
      <c r="N46" s="23">
        <v>68644000</v>
      </c>
      <c r="W46">
        <v>2022</v>
      </c>
      <c r="X46" s="17">
        <v>33630000</v>
      </c>
      <c r="Y46" s="17">
        <v>272327000</v>
      </c>
      <c r="Z46" s="17">
        <v>30951000</v>
      </c>
      <c r="AA46">
        <v>30951000</v>
      </c>
      <c r="AB46">
        <f t="shared" si="7"/>
        <v>30951000</v>
      </c>
      <c r="AC46" t="e">
        <f t="shared" si="8"/>
        <v>#N/A</v>
      </c>
    </row>
    <row r="47" spans="2:29" x14ac:dyDescent="0.25">
      <c r="B47" s="1" t="s">
        <v>9</v>
      </c>
      <c r="C47" t="s">
        <v>49</v>
      </c>
      <c r="D47" t="s">
        <v>50</v>
      </c>
      <c r="E47" t="s">
        <v>52</v>
      </c>
      <c r="F47" t="s">
        <v>53</v>
      </c>
      <c r="G47" t="s">
        <v>51</v>
      </c>
      <c r="H47" t="s">
        <v>46</v>
      </c>
      <c r="I47" t="s">
        <v>54</v>
      </c>
      <c r="J47" t="s">
        <v>55</v>
      </c>
      <c r="W47">
        <v>2023</v>
      </c>
      <c r="X47" s="18">
        <v>20727000</v>
      </c>
      <c r="Y47" s="18">
        <v>264178000</v>
      </c>
      <c r="Z47" s="18">
        <v>41914000</v>
      </c>
      <c r="AA47">
        <v>41914000</v>
      </c>
      <c r="AB47">
        <f t="shared" si="7"/>
        <v>41914000</v>
      </c>
      <c r="AC47" t="e">
        <f t="shared" si="8"/>
        <v>#N/A</v>
      </c>
    </row>
    <row r="48" spans="2:29" x14ac:dyDescent="0.25">
      <c r="B48" s="9">
        <v>2004</v>
      </c>
      <c r="C48" s="23">
        <v>13191608</v>
      </c>
      <c r="D48" s="23">
        <v>439706</v>
      </c>
      <c r="E48" s="23">
        <v>4000450</v>
      </c>
      <c r="F48" s="23">
        <v>3237711</v>
      </c>
      <c r="G48">
        <f t="shared" ref="G48:G68" si="9">$C48+$D48</f>
        <v>13631314</v>
      </c>
      <c r="H48">
        <f t="shared" ref="H48:H68" si="10">$E48+$F48</f>
        <v>7238161</v>
      </c>
      <c r="I48">
        <f>_xlfn.XLOOKUP(year,B47:B68,G47:G68)</f>
        <v>21582563</v>
      </c>
      <c r="J48">
        <f>_xlfn.XLOOKUP(year,B47:B68,H47:H68)</f>
        <v>23836521</v>
      </c>
      <c r="W48">
        <v>2024</v>
      </c>
      <c r="X48" s="18">
        <v>7953000</v>
      </c>
      <c r="Y48" s="18">
        <v>262742000</v>
      </c>
      <c r="Z48" s="18">
        <v>36634000</v>
      </c>
      <c r="AA48">
        <v>36634000</v>
      </c>
      <c r="AB48">
        <f t="shared" si="7"/>
        <v>36634000</v>
      </c>
      <c r="AC48" t="e">
        <f t="shared" si="8"/>
        <v>#N/A</v>
      </c>
    </row>
    <row r="49" spans="2:8" x14ac:dyDescent="0.25">
      <c r="B49" s="8">
        <v>2005</v>
      </c>
      <c r="C49" s="24">
        <v>16671837</v>
      </c>
      <c r="D49" s="24">
        <v>2641152</v>
      </c>
      <c r="E49" s="24">
        <v>8537469</v>
      </c>
      <c r="F49" s="24">
        <v>5553853</v>
      </c>
      <c r="G49">
        <f t="shared" si="9"/>
        <v>19312989</v>
      </c>
      <c r="H49">
        <f t="shared" si="10"/>
        <v>14091322</v>
      </c>
    </row>
    <row r="50" spans="2:8" x14ac:dyDescent="0.25">
      <c r="B50" s="9">
        <v>2006</v>
      </c>
      <c r="C50" s="23">
        <v>18850940</v>
      </c>
      <c r="D50" s="23">
        <v>2731623</v>
      </c>
      <c r="E50" s="23">
        <v>14878378</v>
      </c>
      <c r="F50" s="23">
        <v>8958143</v>
      </c>
      <c r="G50">
        <f t="shared" si="9"/>
        <v>21582563</v>
      </c>
      <c r="H50">
        <f t="shared" si="10"/>
        <v>23836521</v>
      </c>
    </row>
    <row r="51" spans="2:8" x14ac:dyDescent="0.25">
      <c r="B51" s="8">
        <v>2007</v>
      </c>
      <c r="C51" s="24">
        <v>19935335</v>
      </c>
      <c r="D51" s="24">
        <v>2637425</v>
      </c>
      <c r="E51" s="24">
        <v>12438663</v>
      </c>
      <c r="F51" s="24">
        <v>11091402</v>
      </c>
      <c r="G51">
        <f t="shared" si="9"/>
        <v>22572760</v>
      </c>
      <c r="H51">
        <f t="shared" si="10"/>
        <v>23530065</v>
      </c>
    </row>
    <row r="52" spans="2:8" x14ac:dyDescent="0.25">
      <c r="B52" s="9">
        <v>2008</v>
      </c>
      <c r="C52" s="23">
        <v>17813091</v>
      </c>
      <c r="D52" s="23">
        <v>2718556</v>
      </c>
      <c r="E52" s="23">
        <v>21809925</v>
      </c>
      <c r="F52" s="23">
        <v>4634178</v>
      </c>
      <c r="G52">
        <f t="shared" si="9"/>
        <v>20531647</v>
      </c>
      <c r="H52">
        <f t="shared" si="10"/>
        <v>26444103</v>
      </c>
    </row>
    <row r="53" spans="2:8" x14ac:dyDescent="0.25">
      <c r="B53" s="8">
        <v>2009</v>
      </c>
      <c r="C53" s="24">
        <v>19037903</v>
      </c>
      <c r="D53" s="24">
        <v>2669308</v>
      </c>
      <c r="E53" s="24">
        <v>14157516</v>
      </c>
      <c r="F53" s="24">
        <v>13223343</v>
      </c>
      <c r="G53">
        <f t="shared" si="9"/>
        <v>21707211</v>
      </c>
      <c r="H53">
        <f t="shared" si="10"/>
        <v>27380859</v>
      </c>
    </row>
    <row r="54" spans="2:8" x14ac:dyDescent="0.25">
      <c r="B54" s="9">
        <v>2010</v>
      </c>
      <c r="C54" s="23">
        <v>21627938</v>
      </c>
      <c r="D54" s="23">
        <v>2612015</v>
      </c>
      <c r="E54" s="23">
        <v>16241978</v>
      </c>
      <c r="F54" s="23">
        <v>10667861</v>
      </c>
      <c r="G54">
        <f t="shared" si="9"/>
        <v>24239953</v>
      </c>
      <c r="H54">
        <f t="shared" si="10"/>
        <v>26909839</v>
      </c>
    </row>
    <row r="55" spans="2:8" x14ac:dyDescent="0.25">
      <c r="B55" s="8">
        <v>2011</v>
      </c>
      <c r="C55" s="24">
        <v>24533773</v>
      </c>
      <c r="D55" s="24">
        <v>2264910</v>
      </c>
      <c r="E55" s="24">
        <v>19812793</v>
      </c>
      <c r="F55" s="24">
        <v>12120002</v>
      </c>
      <c r="G55">
        <f t="shared" si="9"/>
        <v>26798683</v>
      </c>
      <c r="H55">
        <f t="shared" si="10"/>
        <v>31932795</v>
      </c>
    </row>
    <row r="56" spans="2:8" x14ac:dyDescent="0.25">
      <c r="B56" s="9">
        <v>2012</v>
      </c>
      <c r="C56" s="23">
        <v>26479187</v>
      </c>
      <c r="D56" s="23">
        <v>1827646</v>
      </c>
      <c r="E56" s="23">
        <v>15127289</v>
      </c>
      <c r="F56" s="23">
        <v>9196658</v>
      </c>
      <c r="G56">
        <f t="shared" si="9"/>
        <v>28306833</v>
      </c>
      <c r="H56">
        <f t="shared" si="10"/>
        <v>24323947</v>
      </c>
    </row>
    <row r="57" spans="2:8" x14ac:dyDescent="0.25">
      <c r="B57" s="8">
        <v>2013</v>
      </c>
      <c r="C57" s="24">
        <v>25948000</v>
      </c>
      <c r="D57" s="24">
        <v>1603000</v>
      </c>
      <c r="E57" s="24">
        <v>15955000</v>
      </c>
      <c r="F57" s="24">
        <v>7846000</v>
      </c>
      <c r="G57">
        <f t="shared" si="9"/>
        <v>27551000</v>
      </c>
      <c r="H57">
        <f t="shared" si="10"/>
        <v>23801000</v>
      </c>
    </row>
    <row r="58" spans="2:8" x14ac:dyDescent="0.25">
      <c r="B58" s="9">
        <v>2014</v>
      </c>
      <c r="C58" s="23">
        <v>18771000</v>
      </c>
      <c r="D58" s="23">
        <v>1615000</v>
      </c>
      <c r="E58" s="23">
        <v>14034000</v>
      </c>
      <c r="F58" s="23">
        <v>12305000</v>
      </c>
      <c r="G58">
        <f t="shared" si="9"/>
        <v>20386000</v>
      </c>
      <c r="H58">
        <f t="shared" si="10"/>
        <v>26339000</v>
      </c>
    </row>
    <row r="59" spans="2:8" x14ac:dyDescent="0.25">
      <c r="B59" s="8">
        <v>2015</v>
      </c>
      <c r="C59" s="24">
        <v>22173000</v>
      </c>
      <c r="D59" s="24">
        <v>2071000</v>
      </c>
      <c r="E59" s="24">
        <v>13666000</v>
      </c>
      <c r="F59" s="24">
        <v>10227000</v>
      </c>
      <c r="G59">
        <f t="shared" si="9"/>
        <v>24244000</v>
      </c>
      <c r="H59">
        <f t="shared" si="10"/>
        <v>23893000</v>
      </c>
    </row>
    <row r="60" spans="2:8" x14ac:dyDescent="0.25">
      <c r="B60" s="9">
        <v>2016</v>
      </c>
      <c r="C60" s="23">
        <v>26764000</v>
      </c>
      <c r="D60" s="23">
        <v>2522000</v>
      </c>
      <c r="E60" s="23">
        <v>16621000</v>
      </c>
      <c r="F60" s="23">
        <v>9652000</v>
      </c>
      <c r="G60">
        <f t="shared" si="9"/>
        <v>29286000</v>
      </c>
      <c r="H60">
        <f t="shared" si="10"/>
        <v>26273000</v>
      </c>
    </row>
    <row r="61" spans="2:8" x14ac:dyDescent="0.25">
      <c r="B61" s="8">
        <v>2017</v>
      </c>
      <c r="C61" s="24">
        <v>32197000</v>
      </c>
      <c r="D61" s="24">
        <v>3014000</v>
      </c>
      <c r="E61" s="24">
        <v>16382000</v>
      </c>
      <c r="F61" s="24">
        <v>9071000</v>
      </c>
      <c r="G61">
        <f t="shared" si="9"/>
        <v>35211000</v>
      </c>
      <c r="H61">
        <f t="shared" si="10"/>
        <v>25453000</v>
      </c>
    </row>
    <row r="62" spans="2:8" x14ac:dyDescent="0.25">
      <c r="B62" s="9">
        <v>2018</v>
      </c>
      <c r="C62" s="23">
        <v>35634000</v>
      </c>
      <c r="D62" s="23">
        <v>12000</v>
      </c>
      <c r="E62" s="23">
        <v>16898000</v>
      </c>
      <c r="F62" s="23">
        <v>11487000</v>
      </c>
      <c r="G62">
        <f t="shared" si="9"/>
        <v>35646000</v>
      </c>
      <c r="H62">
        <f t="shared" si="10"/>
        <v>28385000</v>
      </c>
    </row>
    <row r="63" spans="2:8" x14ac:dyDescent="0.25">
      <c r="B63" s="8">
        <v>2019</v>
      </c>
      <c r="C63" s="24">
        <v>38596000</v>
      </c>
      <c r="D63" s="24">
        <v>11000</v>
      </c>
      <c r="E63" s="24">
        <v>18280000</v>
      </c>
      <c r="F63" s="24">
        <v>14315000</v>
      </c>
      <c r="G63">
        <f t="shared" si="9"/>
        <v>38607000</v>
      </c>
      <c r="H63">
        <f t="shared" si="10"/>
        <v>32595000</v>
      </c>
    </row>
    <row r="64" spans="2:8" x14ac:dyDescent="0.25">
      <c r="B64" s="9">
        <v>2020</v>
      </c>
      <c r="C64" s="23">
        <v>41596000</v>
      </c>
      <c r="D64" s="23">
        <v>783000</v>
      </c>
      <c r="E64" s="23">
        <v>22924000</v>
      </c>
      <c r="F64" s="23">
        <v>18524000</v>
      </c>
      <c r="G64">
        <f t="shared" si="9"/>
        <v>42379000</v>
      </c>
      <c r="H64">
        <f t="shared" si="10"/>
        <v>41448000</v>
      </c>
    </row>
    <row r="65" spans="2:12" x14ac:dyDescent="0.25">
      <c r="B65" s="8">
        <v>2021</v>
      </c>
      <c r="C65" s="24">
        <v>51707000</v>
      </c>
      <c r="D65" s="24">
        <v>871000</v>
      </c>
      <c r="E65" s="24">
        <v>30293000</v>
      </c>
      <c r="F65" s="24">
        <v>23883000</v>
      </c>
      <c r="G65">
        <f t="shared" si="9"/>
        <v>52578000</v>
      </c>
      <c r="H65">
        <f t="shared" si="10"/>
        <v>54176000</v>
      </c>
    </row>
    <row r="66" spans="2:12" x14ac:dyDescent="0.25">
      <c r="B66" s="9">
        <v>2022</v>
      </c>
      <c r="C66" s="23">
        <v>135948000</v>
      </c>
      <c r="D66" s="23">
        <v>1011000</v>
      </c>
      <c r="E66" s="23">
        <v>93837000</v>
      </c>
      <c r="F66" s="23">
        <v>41531000</v>
      </c>
      <c r="G66">
        <f t="shared" si="9"/>
        <v>136959000</v>
      </c>
      <c r="H66">
        <f t="shared" si="10"/>
        <v>135368000</v>
      </c>
    </row>
    <row r="67" spans="2:12" x14ac:dyDescent="0.25">
      <c r="B67" s="8">
        <v>2023</v>
      </c>
      <c r="C67" s="24">
        <v>152082000</v>
      </c>
      <c r="D67" s="24">
        <v>1098000</v>
      </c>
      <c r="E67" s="24">
        <v>69382000</v>
      </c>
      <c r="F67" s="24">
        <v>41616000</v>
      </c>
      <c r="G67">
        <f t="shared" si="9"/>
        <v>153180000</v>
      </c>
      <c r="H67">
        <f t="shared" si="10"/>
        <v>110998000</v>
      </c>
    </row>
    <row r="68" spans="2:12" x14ac:dyDescent="0.25">
      <c r="B68" s="9">
        <v>2024</v>
      </c>
      <c r="C68" s="23">
        <v>152214000</v>
      </c>
      <c r="D68" s="23">
        <v>1048000</v>
      </c>
      <c r="E68" s="23">
        <v>60272000</v>
      </c>
      <c r="F68" s="23">
        <v>49208000</v>
      </c>
      <c r="G68">
        <f t="shared" si="9"/>
        <v>153262000</v>
      </c>
      <c r="H68">
        <f t="shared" si="10"/>
        <v>109480000</v>
      </c>
    </row>
    <row r="72" spans="2:12" x14ac:dyDescent="0.25">
      <c r="B72" s="1" t="str" cm="1">
        <f t="array" ref="B72:B93">'[1]BR Bilans'!A1:A22</f>
        <v>Rok</v>
      </c>
      <c r="C72" t="s">
        <v>56</v>
      </c>
      <c r="D72" t="s">
        <v>1</v>
      </c>
      <c r="E72" t="s">
        <v>2</v>
      </c>
      <c r="F72" t="s">
        <v>3</v>
      </c>
      <c r="G72" t="s">
        <v>4</v>
      </c>
      <c r="H72" t="s">
        <v>56</v>
      </c>
      <c r="I72" t="s">
        <v>1</v>
      </c>
      <c r="J72" t="s">
        <v>2</v>
      </c>
      <c r="K72" t="s">
        <v>3</v>
      </c>
      <c r="L72" t="s">
        <v>4</v>
      </c>
    </row>
    <row r="73" spans="2:12" x14ac:dyDescent="0.25">
      <c r="B73" s="9">
        <v>2004</v>
      </c>
      <c r="C73" cm="1">
        <f t="array" ref="C73:C93">[1]!RZiS_Orlen[Techniczny koszt wytworzenia produkcji sprzedanej]</f>
        <v>24605322</v>
      </c>
      <c r="D73" cm="1">
        <f t="array" ref="D73:D93">[1]!RZiS_Orlen[Koszty sprzedaży]</f>
        <v>2115625</v>
      </c>
      <c r="E73" cm="1">
        <f t="array" ref="E73:E93">[1]!RZiS_Orlen[Koszty ogólnego zarządu]</f>
        <v>855341</v>
      </c>
      <c r="F73" cm="1">
        <f t="array" ref="F73:F93">[1]!RZiS_Orlen[Pozostałe koszty operacyjne]</f>
        <v>767951</v>
      </c>
      <c r="G73" cm="1">
        <f t="array" ref="G73:G93">[1]!RZiS_Orlen[Koszty finansowe]</f>
        <v>366568</v>
      </c>
      <c r="H73" cm="1">
        <f t="array" ref="H73:L73">_xlfn.XLOOKUP(year,_xlfn.ANCHORARRAY(B72),C72:G93)</f>
        <v>45871730</v>
      </c>
      <c r="I73">
        <v>2641239</v>
      </c>
      <c r="J73">
        <v>1170927</v>
      </c>
      <c r="K73">
        <v>1221477</v>
      </c>
      <c r="L73">
        <v>670838</v>
      </c>
    </row>
    <row r="74" spans="2:12" x14ac:dyDescent="0.25">
      <c r="B74" s="8">
        <v>2005</v>
      </c>
      <c r="C74">
        <v>34078848</v>
      </c>
      <c r="D74">
        <v>2391290</v>
      </c>
      <c r="E74">
        <v>1039333</v>
      </c>
      <c r="F74">
        <v>1090863</v>
      </c>
      <c r="G74">
        <v>480195</v>
      </c>
    </row>
    <row r="75" spans="2:12" x14ac:dyDescent="0.25">
      <c r="B75" s="9">
        <v>2006</v>
      </c>
      <c r="C75">
        <v>45871730</v>
      </c>
      <c r="D75">
        <v>2641239</v>
      </c>
      <c r="E75">
        <v>1170927</v>
      </c>
      <c r="F75">
        <v>1221477</v>
      </c>
      <c r="G75">
        <v>670838</v>
      </c>
    </row>
    <row r="76" spans="2:12" x14ac:dyDescent="0.25">
      <c r="B76" s="8">
        <v>2007</v>
      </c>
      <c r="C76">
        <v>56125921</v>
      </c>
      <c r="D76">
        <v>3175974</v>
      </c>
      <c r="E76">
        <v>1637370</v>
      </c>
      <c r="F76">
        <v>719839</v>
      </c>
      <c r="G76">
        <v>1050246</v>
      </c>
    </row>
    <row r="77" spans="2:12" x14ac:dyDescent="0.25">
      <c r="B77" s="9">
        <v>2008</v>
      </c>
      <c r="C77">
        <v>73999322</v>
      </c>
      <c r="D77">
        <v>3325701</v>
      </c>
      <c r="E77">
        <v>1462477</v>
      </c>
      <c r="F77">
        <v>3098957</v>
      </c>
      <c r="G77">
        <v>2281414</v>
      </c>
    </row>
    <row r="78" spans="2:12" x14ac:dyDescent="0.25">
      <c r="B78" s="8">
        <v>2009</v>
      </c>
      <c r="C78">
        <v>61843276</v>
      </c>
      <c r="D78">
        <v>3507700</v>
      </c>
      <c r="E78">
        <v>1504707</v>
      </c>
      <c r="F78">
        <v>1233565</v>
      </c>
      <c r="G78">
        <v>1023074</v>
      </c>
    </row>
    <row r="79" spans="2:12" x14ac:dyDescent="0.25">
      <c r="B79" s="9">
        <v>2010</v>
      </c>
      <c r="C79">
        <v>75566961</v>
      </c>
      <c r="D79">
        <v>3394612</v>
      </c>
      <c r="E79">
        <v>1365195</v>
      </c>
      <c r="F79">
        <v>869336</v>
      </c>
      <c r="G79">
        <v>751248</v>
      </c>
    </row>
    <row r="80" spans="2:12" x14ac:dyDescent="0.25">
      <c r="B80" s="8">
        <v>2011</v>
      </c>
      <c r="C80">
        <v>98397811</v>
      </c>
      <c r="D80">
        <v>3660256</v>
      </c>
      <c r="E80">
        <v>1468298</v>
      </c>
      <c r="F80">
        <v>2386892</v>
      </c>
      <c r="G80">
        <v>2243175</v>
      </c>
    </row>
    <row r="81" spans="2:7" x14ac:dyDescent="0.25">
      <c r="B81" s="9">
        <v>2012</v>
      </c>
      <c r="C81">
        <v>112093990</v>
      </c>
      <c r="D81">
        <v>3871660</v>
      </c>
      <c r="E81">
        <v>1523632</v>
      </c>
      <c r="F81">
        <v>1314298</v>
      </c>
      <c r="G81">
        <v>981226</v>
      </c>
    </row>
    <row r="82" spans="2:7" x14ac:dyDescent="0.25">
      <c r="B82" s="8">
        <v>2013</v>
      </c>
      <c r="C82">
        <v>107980000</v>
      </c>
      <c r="D82">
        <v>3935000</v>
      </c>
      <c r="E82">
        <v>1465000</v>
      </c>
      <c r="F82">
        <v>715000</v>
      </c>
      <c r="G82">
        <v>628000</v>
      </c>
    </row>
    <row r="83" spans="2:7" x14ac:dyDescent="0.25">
      <c r="B83" s="9">
        <v>2014</v>
      </c>
      <c r="C83">
        <v>101010000</v>
      </c>
      <c r="D83">
        <v>3920000</v>
      </c>
      <c r="E83">
        <v>1512000</v>
      </c>
      <c r="F83">
        <v>5924000</v>
      </c>
      <c r="G83">
        <v>1889000</v>
      </c>
    </row>
    <row r="84" spans="2:7" x14ac:dyDescent="0.25">
      <c r="B84" s="8">
        <v>2015</v>
      </c>
      <c r="C84">
        <v>77792000</v>
      </c>
      <c r="D84">
        <v>3971000</v>
      </c>
      <c r="E84">
        <v>1552000</v>
      </c>
      <c r="F84">
        <v>1354000</v>
      </c>
      <c r="G84">
        <v>1032000</v>
      </c>
    </row>
    <row r="85" spans="2:7" x14ac:dyDescent="0.25">
      <c r="B85" s="9">
        <v>2016</v>
      </c>
      <c r="C85">
        <v>68223000</v>
      </c>
      <c r="D85">
        <v>4125000</v>
      </c>
      <c r="E85">
        <v>1426000</v>
      </c>
      <c r="F85">
        <v>707000</v>
      </c>
      <c r="G85">
        <v>893000</v>
      </c>
    </row>
    <row r="86" spans="2:7" x14ac:dyDescent="0.25">
      <c r="B86" s="8">
        <v>2017</v>
      </c>
      <c r="C86">
        <v>81766000</v>
      </c>
      <c r="D86">
        <v>4327000</v>
      </c>
      <c r="E86">
        <v>1537000</v>
      </c>
      <c r="F86">
        <v>568000</v>
      </c>
      <c r="G86">
        <v>1700000</v>
      </c>
    </row>
    <row r="87" spans="2:7" x14ac:dyDescent="0.25">
      <c r="B87" s="9">
        <v>2018</v>
      </c>
      <c r="C87">
        <v>97310000</v>
      </c>
      <c r="D87">
        <v>4745000</v>
      </c>
      <c r="E87">
        <v>1592000</v>
      </c>
      <c r="F87">
        <v>1085000</v>
      </c>
      <c r="G87">
        <v>1517000</v>
      </c>
    </row>
    <row r="88" spans="2:7" x14ac:dyDescent="0.25">
      <c r="B88" s="8">
        <v>2019</v>
      </c>
      <c r="C88">
        <v>97301000</v>
      </c>
      <c r="D88">
        <v>6355000</v>
      </c>
      <c r="E88">
        <v>1806000</v>
      </c>
      <c r="F88">
        <v>1717000</v>
      </c>
      <c r="G88">
        <v>901000</v>
      </c>
    </row>
    <row r="89" spans="2:7" x14ac:dyDescent="0.25">
      <c r="B89" s="9">
        <v>2020</v>
      </c>
      <c r="C89">
        <v>76647000</v>
      </c>
      <c r="D89">
        <v>7226000</v>
      </c>
      <c r="E89">
        <v>2314000</v>
      </c>
      <c r="F89">
        <v>6226000</v>
      </c>
      <c r="G89">
        <v>1889000</v>
      </c>
    </row>
    <row r="90" spans="2:7" x14ac:dyDescent="0.25">
      <c r="B90" s="8">
        <v>2021</v>
      </c>
      <c r="C90">
        <v>110789000</v>
      </c>
      <c r="D90">
        <v>8507000</v>
      </c>
      <c r="E90">
        <v>2615000</v>
      </c>
      <c r="F90">
        <v>3998000</v>
      </c>
      <c r="G90">
        <v>968000</v>
      </c>
    </row>
    <row r="91" spans="2:7" x14ac:dyDescent="0.25">
      <c r="B91" s="9">
        <v>2022</v>
      </c>
      <c r="C91">
        <v>225168000</v>
      </c>
      <c r="D91">
        <v>11126000</v>
      </c>
      <c r="E91">
        <v>3545000</v>
      </c>
      <c r="F91">
        <v>15940000</v>
      </c>
      <c r="G91">
        <v>2749000</v>
      </c>
    </row>
    <row r="92" spans="2:7" x14ac:dyDescent="0.25">
      <c r="B92" s="8">
        <v>2023</v>
      </c>
      <c r="C92">
        <v>311847000</v>
      </c>
      <c r="D92">
        <v>16119000</v>
      </c>
      <c r="E92">
        <v>5635000</v>
      </c>
      <c r="F92">
        <v>26523000</v>
      </c>
      <c r="G92">
        <v>2149000</v>
      </c>
    </row>
    <row r="93" spans="2:7" x14ac:dyDescent="0.25">
      <c r="B93" s="9">
        <v>2024</v>
      </c>
      <c r="C93">
        <v>255132000</v>
      </c>
      <c r="D93">
        <v>14001000</v>
      </c>
      <c r="E93">
        <v>6123000</v>
      </c>
      <c r="F93">
        <v>9545000</v>
      </c>
      <c r="G93">
        <v>1605000</v>
      </c>
    </row>
  </sheetData>
  <mergeCells count="5">
    <mergeCell ref="C1:F1"/>
    <mergeCell ref="G1:I1"/>
    <mergeCell ref="J1:M1"/>
    <mergeCell ref="N1:P1"/>
    <mergeCell ref="I25:I45"/>
  </mergeCells>
  <phoneticPr fontId="5" type="noConversion"/>
  <conditionalFormatting sqref="AL5">
    <cfRule type="colorScale" priority="2">
      <colorScale>
        <cfvo type="formula" val="$AL$5=&quot;W granicach normy&quot;"/>
        <cfvo type="formula" val="$AL$5=&quot;Znaczna zmiana&quot;"/>
        <color theme="6" tint="-0.249977111117893"/>
        <color rgb="FFEE0000"/>
      </colorScale>
    </cfRule>
  </conditionalFormatting>
  <conditionalFormatting sqref="AI12">
    <cfRule type="cellIs" dxfId="16" priority="1" operator="greaterThan">
      <formula>0.5</formula>
    </cfRule>
  </conditionalFormatting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ECCE50-0396-491E-8681-56B88726BF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17</vt:i4>
      </vt:variant>
    </vt:vector>
  </HeadingPairs>
  <TitlesOfParts>
    <vt:vector size="19" baseType="lpstr">
      <vt:lpstr>Orlen dashboard</vt:lpstr>
      <vt:lpstr>Data Validation</vt:lpstr>
      <vt:lpstr>aktywa_razem</vt:lpstr>
      <vt:lpstr>ocena_aktywów</vt:lpstr>
      <vt:lpstr>ocena_przepływów</vt:lpstr>
      <vt:lpstr>ocena_zysku</vt:lpstr>
      <vt:lpstr>porownaj_wykres</vt:lpstr>
      <vt:lpstr>porownajwykres</vt:lpstr>
      <vt:lpstr>pp_oper</vt:lpstr>
      <vt:lpstr>procenta</vt:lpstr>
      <vt:lpstr>procentpp</vt:lpstr>
      <vt:lpstr>procentz</vt:lpstr>
      <vt:lpstr>rok</vt:lpstr>
      <vt:lpstr>wybierz_wykres</vt:lpstr>
      <vt:lpstr>wykresy</vt:lpstr>
      <vt:lpstr>wykresy_p</vt:lpstr>
      <vt:lpstr>wykresyp</vt:lpstr>
      <vt:lpstr>year</vt:lpstr>
      <vt:lpstr>zysk_netto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Kot WW</dc:creator>
  <cp:lastModifiedBy>Kot WW</cp:lastModifiedBy>
  <dcterms:created xsi:type="dcterms:W3CDTF">2025-02-22T08:47:04Z</dcterms:created>
  <dcterms:modified xsi:type="dcterms:W3CDTF">2025-03-09T09:59:52Z</dcterms:modified>
</cp:coreProperties>
</file>