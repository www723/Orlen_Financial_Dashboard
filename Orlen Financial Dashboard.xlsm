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94c2de6520367a/Desktop/Orlen-Dashboard/"/>
    </mc:Choice>
  </mc:AlternateContent>
  <xr:revisionPtr revIDLastSave="9063" documentId="8_{5613F1F0-4603-464D-B2E8-87F6D5AEFC1E}" xr6:coauthVersionLast="47" xr6:coauthVersionMax="47" xr10:uidLastSave="{2E2CACCF-00AF-425D-AD7E-6AD7A4ABCCAC}"/>
  <workbookProtection workbookAlgorithmName="SHA-512" workbookHashValue="8hYfEMQyQjr8bjp7v6unRcX+GX5r5dthcA6t0TwNnyhOaQB84aAX6Sb7AknuvW7sje6ITsQbYX3Ju/pUjgnGWQ==" workbookSaltValue="466VC90ksS0MSz8FOnBt4w==" workbookSpinCount="100000" lockStructure="1"/>
  <bookViews>
    <workbookView xWindow="-120" yWindow="-120" windowWidth="29040" windowHeight="15840" firstSheet="4" activeTab="4" xr2:uid="{7E07152E-32FD-4689-B3E2-FB133609264C}"/>
  </bookViews>
  <sheets>
    <sheet name="Wskaźniki roczne" sheetId="29" state="hidden" r:id="rId1"/>
    <sheet name="BR Rpp_Orlen" sheetId="28" state="hidden" r:id="rId2"/>
    <sheet name="BR RZiS" sheetId="27" state="hidden" r:id="rId3"/>
    <sheet name="BR Bilans" sheetId="26" state="hidden" r:id="rId4"/>
    <sheet name="Orlen dashboard" sheetId="3" r:id="rId5"/>
    <sheet name="Data Validation" sheetId="25" state="hidden" r:id="rId6"/>
  </sheets>
  <externalReferences>
    <externalReference r:id="rId7"/>
    <externalReference r:id="rId8"/>
    <externalReference r:id="rId9"/>
    <externalReference r:id="rId10"/>
  </externalReferences>
  <definedNames>
    <definedName name="aktywa_razem" localSheetId="3">'[1]Data Validation'!$AC$3</definedName>
    <definedName name="aktywa_razem" localSheetId="1">'[1]Data Validation'!$AC$3</definedName>
    <definedName name="aktywa_razem" localSheetId="2">'[1]Data Validation'!$AC$3</definedName>
    <definedName name="aktywa_razem" localSheetId="0">'[1]Data Validation'!$AC$3</definedName>
    <definedName name="aktywa_razem">'Data Validation'!$AC$3</definedName>
    <definedName name="ExternalData_1" localSheetId="3" hidden="1">'BR Bilans'!$A$1:$AJ$23</definedName>
    <definedName name="ExternalData_1" localSheetId="1" hidden="1">'BR Rpp_Orlen'!$A$1:$L$22</definedName>
    <definedName name="ExternalData_1" localSheetId="2" hidden="1">'BR RZiS'!$A$1:$S$22</definedName>
    <definedName name="FromArray_1" localSheetId="3">_xlfn.ANCHORARRAY('[2]BR RPP Q S'!$A$86)</definedName>
    <definedName name="FromArray_1" localSheetId="1">_xlfn.ANCHORARRAY('[2]BR RPP Q S'!$A$86)</definedName>
    <definedName name="FromArray_1" localSheetId="2">_xlfn.ANCHORARRAY('[2]BR RPP Q S'!$A$86)</definedName>
    <definedName name="FromArray_1" localSheetId="0">_xlfn.ANCHORARRAY('[2]BR RPP Q S'!$A$86)</definedName>
    <definedName name="FromArray_1">_xlfn.ANCHORARRAY('[3]BR RPP Q S'!$A$86)</definedName>
    <definedName name="job_title">'[4]Salary Calculator'!$C$4</definedName>
    <definedName name="ocena_aktywów" localSheetId="3">'[1]Data Validation'!$AL$7</definedName>
    <definedName name="ocena_aktywów" localSheetId="1">'[1]Data Validation'!$AL$7</definedName>
    <definedName name="ocena_aktywów" localSheetId="2">'[1]Data Validation'!$AL$7</definedName>
    <definedName name="ocena_aktywów" localSheetId="0">'[1]Data Validation'!$AL$7</definedName>
    <definedName name="ocena_aktywów">'Data Validation'!$AL$7</definedName>
    <definedName name="ocena_przepływów" localSheetId="3">'[1]Data Validation'!$AL$9</definedName>
    <definedName name="ocena_przepływów" localSheetId="1">'[1]Data Validation'!$AL$9</definedName>
    <definedName name="ocena_przepływów" localSheetId="2">'[1]Data Validation'!$AL$9</definedName>
    <definedName name="ocena_przepływów" localSheetId="0">'[1]Data Validation'!$AL$9</definedName>
    <definedName name="ocena_przepływów">'Data Validation'!$AL$9</definedName>
    <definedName name="ocena_zysku" localSheetId="3">'[1]Data Validation'!$AL$5</definedName>
    <definedName name="ocena_zysku" localSheetId="1">'[1]Data Validation'!$AL$5</definedName>
    <definedName name="ocena_zysku" localSheetId="2">'[1]Data Validation'!$AL$5</definedName>
    <definedName name="ocena_zysku" localSheetId="0">'[1]Data Validation'!$AL$5</definedName>
    <definedName name="ocena_zysku">'Data Validation'!$AL$5</definedName>
    <definedName name="porownaj_wykres">'Orlen dashboard'!$K$4</definedName>
    <definedName name="porownajwykres">'Orlen dashboard'!$K$4</definedName>
    <definedName name="pp_oper" localSheetId="3">'[1]Data Validation'!$AE$3</definedName>
    <definedName name="pp_oper" localSheetId="1">'[1]Data Validation'!$AE$3</definedName>
    <definedName name="pp_oper" localSheetId="2">'[1]Data Validation'!$AE$3</definedName>
    <definedName name="pp_oper" localSheetId="0">'[1]Data Validation'!$AE$3</definedName>
    <definedName name="pp_oper">'Data Validation'!$AE$3</definedName>
    <definedName name="procenta" localSheetId="3">'[1]Data Validation'!$AI$15</definedName>
    <definedName name="procenta" localSheetId="1">'[1]Data Validation'!$AI$15</definedName>
    <definedName name="procenta" localSheetId="2">'[1]Data Validation'!$AI$15</definedName>
    <definedName name="procenta" localSheetId="0">'[1]Data Validation'!$AI$15</definedName>
    <definedName name="procenta">'Data Validation'!$AI$15</definedName>
    <definedName name="procentpp" localSheetId="3">'[1]Data Validation'!$AI$18</definedName>
    <definedName name="procentpp" localSheetId="1">'[1]Data Validation'!$AI$18</definedName>
    <definedName name="procentpp" localSheetId="2">'[1]Data Validation'!$AI$18</definedName>
    <definedName name="procentpp" localSheetId="0">'[1]Data Validation'!$AI$18</definedName>
    <definedName name="procentpp">'Data Validation'!$AI$18</definedName>
    <definedName name="procentz" localSheetId="3">'[1]Data Validation'!$AI$12</definedName>
    <definedName name="procentz" localSheetId="1">'[1]Data Validation'!$AI$12</definedName>
    <definedName name="procentz" localSheetId="2">'[1]Data Validation'!$AI$12</definedName>
    <definedName name="procentz" localSheetId="0">'[1]Data Validation'!$AI$12</definedName>
    <definedName name="procentz">'Data Validation'!$AI$12</definedName>
    <definedName name="rok" localSheetId="3">'[1]Orlen dashboard'!$C$4</definedName>
    <definedName name="rok" localSheetId="1">'[1]Orlen dashboard'!$C$4</definedName>
    <definedName name="rok" localSheetId="2">'[1]Orlen dashboard'!$C$4</definedName>
    <definedName name="rok" localSheetId="0">'[1]Orlen dashboard'!$C$4</definedName>
    <definedName name="rok">'Orlen dashboard'!$C$4</definedName>
    <definedName name="wybierz_wykres">'Orlen dashboard'!$J$4</definedName>
    <definedName name="wykresy" localSheetId="3">'[1]Orlen dashboard'!$H$4</definedName>
    <definedName name="wykresy" localSheetId="1">'[1]Orlen dashboard'!$H$4</definedName>
    <definedName name="wykresy" localSheetId="2">'[1]Orlen dashboard'!$H$4</definedName>
    <definedName name="wykresy" localSheetId="0">'[1]Orlen dashboard'!$H$4</definedName>
    <definedName name="wykresy">'Orlen dashboard'!$H$4</definedName>
    <definedName name="wykresy_p">'Orlen dashboard'!$H$4</definedName>
    <definedName name="wykresyp">'Orlen dashboard'!$H$4</definedName>
    <definedName name="year" localSheetId="3">'[1]Orlen dashboard'!$C$4</definedName>
    <definedName name="year" localSheetId="1">'[1]Orlen dashboard'!$C$4</definedName>
    <definedName name="year" localSheetId="2">'[1]Orlen dashboard'!$C$4</definedName>
    <definedName name="year" localSheetId="0">'[1]Orlen dashboard'!$C$4</definedName>
    <definedName name="year">'Orlen dashboard'!$C$4</definedName>
    <definedName name="year_dash" localSheetId="3">'[1]Orlen dashboard'!#REF!</definedName>
    <definedName name="year_dash" localSheetId="1">'[1]Orlen dashboard'!#REF!</definedName>
    <definedName name="year_dash" localSheetId="2">'[1]Orlen dashboard'!#REF!</definedName>
    <definedName name="year_dash" localSheetId="0">'[1]Orlen dashboard'!#REF!</definedName>
    <definedName name="year_dash">'Orlen dashboard'!#REF!</definedName>
    <definedName name="zysk_netto" localSheetId="3">'[1]Data Validation'!$AA$3</definedName>
    <definedName name="zysk_netto" localSheetId="1">'[1]Data Validation'!$AA$3</definedName>
    <definedName name="zysk_netto" localSheetId="2">'[1]Data Validation'!$AA$3</definedName>
    <definedName name="zysk_netto" localSheetId="0">'[1]Data Validation'!$AA$3</definedName>
    <definedName name="zysk_netto">'Data Validation'!$AA$3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29" l="1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P22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P20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P17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C16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C15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C14" i="29"/>
  <c r="P13" i="29"/>
  <c r="O13" i="29"/>
  <c r="N13" i="29"/>
  <c r="M13" i="29"/>
  <c r="L13" i="29"/>
  <c r="K13" i="29"/>
  <c r="J13" i="29"/>
  <c r="I13" i="29"/>
  <c r="H13" i="29"/>
  <c r="G13" i="29"/>
  <c r="F13" i="29"/>
  <c r="E13" i="29"/>
  <c r="D13" i="29"/>
  <c r="C13" i="29"/>
  <c r="P12" i="29"/>
  <c r="O12" i="29"/>
  <c r="N12" i="29"/>
  <c r="M12" i="29"/>
  <c r="L12" i="29"/>
  <c r="K12" i="29"/>
  <c r="J12" i="29"/>
  <c r="I12" i="29"/>
  <c r="H12" i="29"/>
  <c r="G12" i="29"/>
  <c r="F12" i="29"/>
  <c r="E12" i="29"/>
  <c r="D12" i="29"/>
  <c r="C12" i="29"/>
  <c r="P11" i="29"/>
  <c r="O11" i="29"/>
  <c r="N11" i="29"/>
  <c r="M11" i="29"/>
  <c r="L11" i="29"/>
  <c r="K11" i="29"/>
  <c r="J11" i="29"/>
  <c r="I11" i="29"/>
  <c r="H11" i="29"/>
  <c r="G11" i="29"/>
  <c r="F11" i="29"/>
  <c r="E11" i="29"/>
  <c r="D11" i="29"/>
  <c r="C11" i="29"/>
  <c r="P10" i="29"/>
  <c r="O10" i="29"/>
  <c r="N10" i="29"/>
  <c r="M10" i="29"/>
  <c r="L10" i="29"/>
  <c r="K10" i="29"/>
  <c r="J10" i="29"/>
  <c r="I10" i="29"/>
  <c r="H10" i="29"/>
  <c r="G10" i="29"/>
  <c r="F10" i="29"/>
  <c r="E10" i="29"/>
  <c r="D10" i="29"/>
  <c r="C10" i="29"/>
  <c r="P9" i="29"/>
  <c r="O9" i="29"/>
  <c r="N9" i="29"/>
  <c r="M9" i="29"/>
  <c r="L9" i="29"/>
  <c r="K9" i="29"/>
  <c r="J9" i="29"/>
  <c r="I9" i="29"/>
  <c r="H9" i="29"/>
  <c r="G9" i="29"/>
  <c r="F9" i="29"/>
  <c r="E9" i="29"/>
  <c r="D9" i="29"/>
  <c r="C9" i="29"/>
  <c r="P8" i="29"/>
  <c r="O8" i="29"/>
  <c r="N8" i="29"/>
  <c r="M8" i="29"/>
  <c r="L8" i="29"/>
  <c r="K8" i="29"/>
  <c r="J8" i="29"/>
  <c r="I8" i="29"/>
  <c r="H8" i="29"/>
  <c r="G8" i="29"/>
  <c r="F8" i="29"/>
  <c r="E8" i="29"/>
  <c r="D8" i="29"/>
  <c r="C8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C7" i="29"/>
  <c r="P6" i="29"/>
  <c r="O6" i="29"/>
  <c r="N6" i="29"/>
  <c r="M6" i="29"/>
  <c r="L6" i="29"/>
  <c r="K6" i="29"/>
  <c r="J6" i="29"/>
  <c r="I6" i="29"/>
  <c r="H6" i="29"/>
  <c r="G6" i="29"/>
  <c r="F6" i="29"/>
  <c r="E6" i="29"/>
  <c r="D6" i="29"/>
  <c r="C6" i="29"/>
  <c r="P5" i="29"/>
  <c r="O5" i="29"/>
  <c r="N5" i="29"/>
  <c r="M5" i="29"/>
  <c r="L5" i="29"/>
  <c r="K5" i="29"/>
  <c r="J5" i="29"/>
  <c r="I5" i="29"/>
  <c r="H5" i="29"/>
  <c r="G5" i="29"/>
  <c r="F5" i="29"/>
  <c r="E5" i="29"/>
  <c r="D5" i="29"/>
  <c r="C5" i="29"/>
  <c r="P4" i="29"/>
  <c r="O4" i="29"/>
  <c r="N4" i="29"/>
  <c r="M4" i="29"/>
  <c r="L4" i="29"/>
  <c r="K4" i="29"/>
  <c r="J4" i="29"/>
  <c r="I4" i="29"/>
  <c r="H4" i="29"/>
  <c r="G4" i="29"/>
  <c r="F4" i="29"/>
  <c r="E4" i="29"/>
  <c r="D4" i="29"/>
  <c r="C4" i="29"/>
  <c r="P3" i="29"/>
  <c r="O3" i="29"/>
  <c r="N3" i="29"/>
  <c r="M3" i="29"/>
  <c r="L3" i="29"/>
  <c r="K3" i="29"/>
  <c r="J3" i="29"/>
  <c r="I3" i="29"/>
  <c r="H3" i="29"/>
  <c r="G3" i="29"/>
  <c r="F3" i="29"/>
  <c r="E3" i="29"/>
  <c r="D3" i="29"/>
  <c r="C3" i="29"/>
  <c r="AE5" i="25"/>
  <c r="AE6" i="25"/>
  <c r="AF6" i="25" s="1"/>
  <c r="AE7" i="25"/>
  <c r="AF7" i="25" s="1"/>
  <c r="AE8" i="25"/>
  <c r="AF8" i="25" s="1"/>
  <c r="AE9" i="25"/>
  <c r="AF9" i="25" s="1"/>
  <c r="AE10" i="25"/>
  <c r="AF10" i="25" s="1"/>
  <c r="AE11" i="25"/>
  <c r="AF11" i="25" s="1"/>
  <c r="AE12" i="25"/>
  <c r="AF12" i="25" s="1"/>
  <c r="AE13" i="25"/>
  <c r="AF13" i="25" s="1"/>
  <c r="AE14" i="25"/>
  <c r="AF14" i="25" s="1"/>
  <c r="AE15" i="25"/>
  <c r="AF15" i="25" s="1"/>
  <c r="AE16" i="25"/>
  <c r="AF16" i="25" s="1"/>
  <c r="AE17" i="25"/>
  <c r="AF17" i="25" s="1"/>
  <c r="AI18" i="25" s="1"/>
  <c r="AE18" i="25"/>
  <c r="AF18" i="25" s="1"/>
  <c r="AE19" i="25"/>
  <c r="AF19" i="25" s="1"/>
  <c r="AE20" i="25"/>
  <c r="AF20" i="25" s="1"/>
  <c r="AE21" i="25"/>
  <c r="AF21" i="25" s="1"/>
  <c r="AE22" i="25"/>
  <c r="AF22" i="25" s="1"/>
  <c r="AE23" i="25"/>
  <c r="AF23" i="25" s="1"/>
  <c r="AE24" i="25"/>
  <c r="AF24" i="25" s="1"/>
  <c r="AE25" i="25"/>
  <c r="AC5" i="25"/>
  <c r="AC6" i="25"/>
  <c r="AC7" i="25"/>
  <c r="AC8" i="25"/>
  <c r="AC9" i="25"/>
  <c r="AC10" i="25"/>
  <c r="AC11" i="25"/>
  <c r="AC12" i="25"/>
  <c r="AC13" i="25"/>
  <c r="AC14" i="25"/>
  <c r="AC15" i="25"/>
  <c r="AD15" i="25" s="1"/>
  <c r="AC16" i="25"/>
  <c r="AD16" i="25" s="1"/>
  <c r="AC17" i="25"/>
  <c r="AD17" i="25" s="1"/>
  <c r="AI15" i="25" s="1"/>
  <c r="AC18" i="25"/>
  <c r="AD18" i="25" s="1"/>
  <c r="AC19" i="25"/>
  <c r="AD19" i="25" s="1"/>
  <c r="AC20" i="25"/>
  <c r="AD20" i="25" s="1"/>
  <c r="AC21" i="25"/>
  <c r="AD21" i="25" s="1"/>
  <c r="AC22" i="25"/>
  <c r="AD22" i="25" s="1"/>
  <c r="AC23" i="25"/>
  <c r="AD23" i="25" s="1"/>
  <c r="AC24" i="25"/>
  <c r="AD24" i="25" s="1"/>
  <c r="AC25" i="25"/>
  <c r="AA8" i="25"/>
  <c r="AB8" i="25" s="1"/>
  <c r="AA9" i="25"/>
  <c r="AA10" i="25"/>
  <c r="AB10" i="25" s="1"/>
  <c r="AA11" i="25"/>
  <c r="AB11" i="25" s="1"/>
  <c r="AA12" i="25"/>
  <c r="AB12" i="25" s="1"/>
  <c r="AA13" i="25"/>
  <c r="AB13" i="25" s="1"/>
  <c r="AA14" i="25"/>
  <c r="AB14" i="25" s="1"/>
  <c r="AA15" i="25"/>
  <c r="AA16" i="25"/>
  <c r="AA17" i="25"/>
  <c r="AA18" i="25"/>
  <c r="AA19" i="25"/>
  <c r="AA20" i="25"/>
  <c r="AA21" i="25"/>
  <c r="AA22" i="25"/>
  <c r="AB22" i="25" s="1"/>
  <c r="AA23" i="25"/>
  <c r="AA24" i="25"/>
  <c r="AA25" i="25"/>
  <c r="AB9" i="25"/>
  <c r="AB15" i="25"/>
  <c r="AB16" i="25"/>
  <c r="AB17" i="25"/>
  <c r="AB18" i="25"/>
  <c r="AB19" i="25"/>
  <c r="AB20" i="25"/>
  <c r="AB21" i="25"/>
  <c r="AB23" i="25"/>
  <c r="AB24" i="25"/>
  <c r="AA7" i="25"/>
  <c r="AA6" i="25"/>
  <c r="AA5" i="25"/>
  <c r="AA28" i="25" a="1"/>
  <c r="H26" i="25"/>
  <c r="H44" i="25"/>
  <c r="F26" i="25"/>
  <c r="F44" i="25"/>
  <c r="W28" i="25" a="1"/>
  <c r="G73" i="25" a="1"/>
  <c r="F73" i="25" a="1"/>
  <c r="E73" i="25" a="1"/>
  <c r="D73" i="25" a="1"/>
  <c r="C73" i="25" a="1"/>
  <c r="B72" i="25" a="1"/>
  <c r="B72" i="25" s="1"/>
  <c r="J48" i="25"/>
  <c r="I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48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P26" i="25" a="1"/>
  <c r="P26" i="25" s="1"/>
  <c r="AE3" i="25"/>
  <c r="AC3" i="25"/>
  <c r="AA3" i="25"/>
  <c r="AL9" i="25"/>
  <c r="AL7" i="25"/>
  <c r="AJ9" i="25"/>
  <c r="AI9" i="25"/>
  <c r="AJ7" i="25"/>
  <c r="AI7" i="25"/>
  <c r="AL5" i="25"/>
  <c r="AJ5" i="25"/>
  <c r="AI5" i="25"/>
  <c r="AF25" i="25"/>
  <c r="AD25" i="25"/>
  <c r="AB25" i="25"/>
  <c r="C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M3" i="25"/>
  <c r="C24" i="25" s="1" a="1"/>
  <c r="F38" i="25" s="1"/>
  <c r="M4" i="25"/>
  <c r="M5" i="25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C3" i="25"/>
  <c r="D24" i="25" s="1" a="1"/>
  <c r="H38" i="25" s="1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P22" i="25"/>
  <c r="O22" i="25"/>
  <c r="N22" i="25"/>
  <c r="I22" i="25"/>
  <c r="H22" i="25"/>
  <c r="G22" i="25"/>
  <c r="F22" i="25"/>
  <c r="P21" i="25"/>
  <c r="O21" i="25"/>
  <c r="N21" i="25"/>
  <c r="I21" i="25"/>
  <c r="H21" i="25"/>
  <c r="G21" i="25"/>
  <c r="F21" i="25"/>
  <c r="P20" i="25"/>
  <c r="O20" i="25"/>
  <c r="N20" i="25"/>
  <c r="I20" i="25"/>
  <c r="H20" i="25"/>
  <c r="G20" i="25"/>
  <c r="F20" i="25"/>
  <c r="P19" i="25"/>
  <c r="O19" i="25"/>
  <c r="N19" i="25"/>
  <c r="I19" i="25"/>
  <c r="H19" i="25"/>
  <c r="G19" i="25"/>
  <c r="F19" i="25"/>
  <c r="P18" i="25"/>
  <c r="O18" i="25"/>
  <c r="N18" i="25"/>
  <c r="I18" i="25"/>
  <c r="H18" i="25"/>
  <c r="G18" i="25"/>
  <c r="F18" i="25"/>
  <c r="P17" i="25"/>
  <c r="O17" i="25"/>
  <c r="N17" i="25"/>
  <c r="I17" i="25"/>
  <c r="H17" i="25"/>
  <c r="G17" i="25"/>
  <c r="F17" i="25"/>
  <c r="P16" i="25"/>
  <c r="O16" i="25"/>
  <c r="N16" i="25"/>
  <c r="I16" i="25"/>
  <c r="H16" i="25"/>
  <c r="G16" i="25"/>
  <c r="F16" i="25"/>
  <c r="P15" i="25"/>
  <c r="O15" i="25"/>
  <c r="N15" i="25"/>
  <c r="I15" i="25"/>
  <c r="H15" i="25"/>
  <c r="G15" i="25"/>
  <c r="F15" i="25"/>
  <c r="P14" i="25"/>
  <c r="O14" i="25"/>
  <c r="N14" i="25"/>
  <c r="I14" i="25"/>
  <c r="H14" i="25"/>
  <c r="G14" i="25"/>
  <c r="F14" i="25"/>
  <c r="P13" i="25"/>
  <c r="O13" i="25"/>
  <c r="N13" i="25"/>
  <c r="I13" i="25"/>
  <c r="H13" i="25"/>
  <c r="G13" i="25"/>
  <c r="F13" i="25"/>
  <c r="P12" i="25"/>
  <c r="O12" i="25"/>
  <c r="N12" i="25"/>
  <c r="I12" i="25"/>
  <c r="H12" i="25"/>
  <c r="G12" i="25"/>
  <c r="F12" i="25"/>
  <c r="P11" i="25"/>
  <c r="O11" i="25"/>
  <c r="N11" i="25"/>
  <c r="I11" i="25"/>
  <c r="H11" i="25"/>
  <c r="G11" i="25"/>
  <c r="F11" i="25"/>
  <c r="P10" i="25"/>
  <c r="O10" i="25"/>
  <c r="N10" i="25"/>
  <c r="I10" i="25"/>
  <c r="H10" i="25"/>
  <c r="G10" i="25"/>
  <c r="F10" i="25"/>
  <c r="P9" i="25"/>
  <c r="O9" i="25"/>
  <c r="N9" i="25"/>
  <c r="I9" i="25"/>
  <c r="H9" i="25"/>
  <c r="G9" i="25"/>
  <c r="F9" i="25"/>
  <c r="P8" i="25"/>
  <c r="O8" i="25"/>
  <c r="N8" i="25"/>
  <c r="I8" i="25"/>
  <c r="H8" i="25"/>
  <c r="G8" i="25"/>
  <c r="F8" i="25"/>
  <c r="P7" i="25"/>
  <c r="O7" i="25"/>
  <c r="N7" i="25"/>
  <c r="I7" i="25"/>
  <c r="H7" i="25"/>
  <c r="G7" i="25"/>
  <c r="F7" i="25"/>
  <c r="P6" i="25"/>
  <c r="O6" i="25"/>
  <c r="N6" i="25"/>
  <c r="I6" i="25"/>
  <c r="H6" i="25"/>
  <c r="G6" i="25"/>
  <c r="F6" i="25"/>
  <c r="P5" i="25"/>
  <c r="O5" i="25"/>
  <c r="N5" i="25"/>
  <c r="I5" i="25"/>
  <c r="H5" i="25"/>
  <c r="G5" i="25"/>
  <c r="F5" i="25"/>
  <c r="P4" i="25"/>
  <c r="O4" i="25"/>
  <c r="N4" i="25"/>
  <c r="I4" i="25"/>
  <c r="H4" i="25"/>
  <c r="G4" i="25"/>
  <c r="F4" i="25"/>
  <c r="P3" i="25"/>
  <c r="O3" i="25"/>
  <c r="N3" i="25"/>
  <c r="I3" i="25"/>
  <c r="H3" i="25"/>
  <c r="G3" i="25"/>
  <c r="F3" i="25"/>
  <c r="AD7" i="25"/>
  <c r="AD8" i="25"/>
  <c r="AD9" i="25"/>
  <c r="AD10" i="25"/>
  <c r="AD11" i="25"/>
  <c r="AD12" i="25"/>
  <c r="AD6" i="25"/>
  <c r="AB6" i="25"/>
  <c r="AB7" i="25"/>
  <c r="F73" i="25" l="1"/>
  <c r="C73" i="25"/>
  <c r="E73" i="25"/>
  <c r="D73" i="25"/>
  <c r="G73" i="25"/>
  <c r="H73" i="25" a="1"/>
  <c r="H73" i="25" s="1"/>
  <c r="AD13" i="25"/>
  <c r="AD14" i="25"/>
  <c r="AI12" i="25"/>
  <c r="H30" i="25"/>
  <c r="H28" i="25"/>
  <c r="F30" i="25"/>
  <c r="F28" i="25"/>
  <c r="H42" i="25"/>
  <c r="H43" i="25"/>
  <c r="F42" i="25"/>
  <c r="F43" i="25"/>
  <c r="H36" i="25"/>
  <c r="H32" i="25"/>
  <c r="F40" i="25"/>
  <c r="F32" i="25"/>
  <c r="H29" i="25"/>
  <c r="H40" i="25"/>
  <c r="F39" i="25"/>
  <c r="F29" i="25"/>
  <c r="H31" i="25"/>
  <c r="H39" i="25"/>
  <c r="F34" i="25"/>
  <c r="F31" i="25"/>
  <c r="H33" i="25"/>
  <c r="H34" i="25"/>
  <c r="F35" i="25"/>
  <c r="F33" i="25"/>
  <c r="H41" i="25"/>
  <c r="H35" i="25"/>
  <c r="F25" i="25"/>
  <c r="F41" i="25"/>
  <c r="H45" i="25"/>
  <c r="H25" i="25"/>
  <c r="F45" i="25"/>
  <c r="F36" i="25"/>
  <c r="F37" i="25"/>
  <c r="E27" i="25"/>
  <c r="G27" i="25"/>
  <c r="H37" i="25"/>
  <c r="AA28" i="25"/>
  <c r="W28" i="25"/>
  <c r="AC45" i="25"/>
  <c r="AB29" i="25"/>
  <c r="AB44" i="25"/>
  <c r="AB39" i="25"/>
  <c r="AB36" i="25"/>
  <c r="AB31" i="25"/>
  <c r="AC48" i="25"/>
  <c r="AC44" i="25"/>
  <c r="AC40" i="25"/>
  <c r="AC39" i="25"/>
  <c r="AB37" i="25"/>
  <c r="AB30" i="25"/>
  <c r="AB35" i="25"/>
  <c r="AB40" i="25"/>
  <c r="AB45" i="25"/>
  <c r="AC32" i="25"/>
  <c r="AC37" i="25"/>
  <c r="AC43" i="25"/>
  <c r="AB33" i="25"/>
  <c r="AB34" i="25"/>
  <c r="AC31" i="25"/>
  <c r="AB43" i="25"/>
  <c r="AB48" i="25"/>
  <c r="AB46" i="25"/>
  <c r="AB41" i="25"/>
  <c r="AB32" i="25"/>
  <c r="AC47" i="25"/>
  <c r="AC42" i="25"/>
  <c r="AC38" i="25"/>
  <c r="AC35" i="25"/>
  <c r="AC33" i="25"/>
  <c r="AC29" i="25"/>
  <c r="AB38" i="25"/>
  <c r="AB47" i="25"/>
  <c r="AB42" i="25"/>
  <c r="AC30" i="25"/>
  <c r="AC34" i="25"/>
  <c r="AC36" i="25"/>
  <c r="AC41" i="25"/>
  <c r="AC46" i="25"/>
  <c r="D24" i="25"/>
  <c r="G37" i="25"/>
  <c r="H27" i="25"/>
  <c r="G29" i="25"/>
  <c r="G26" i="25"/>
  <c r="G32" i="25"/>
  <c r="G34" i="25"/>
  <c r="G38" i="25"/>
  <c r="G42" i="25"/>
  <c r="G25" i="25"/>
  <c r="G36" i="25"/>
  <c r="G40" i="25"/>
  <c r="G44" i="25"/>
  <c r="G28" i="25"/>
  <c r="G45" i="25"/>
  <c r="G41" i="25"/>
  <c r="G43" i="25"/>
  <c r="G39" i="25"/>
  <c r="G35" i="25"/>
  <c r="G33" i="25"/>
  <c r="G31" i="25"/>
  <c r="G30" i="25"/>
  <c r="C24" i="25"/>
  <c r="E45" i="25"/>
  <c r="E41" i="25"/>
  <c r="E29" i="25"/>
  <c r="E33" i="25"/>
  <c r="E38" i="25"/>
  <c r="E43" i="25"/>
  <c r="E32" i="25"/>
  <c r="E28" i="25"/>
  <c r="E34" i="25"/>
  <c r="E36" i="25"/>
  <c r="E37" i="25"/>
  <c r="E44" i="25"/>
  <c r="F27" i="25"/>
  <c r="E25" i="25"/>
  <c r="E42" i="25"/>
  <c r="E39" i="25"/>
  <c r="E35" i="25"/>
  <c r="E31" i="25"/>
  <c r="E26" i="25"/>
  <c r="E30" i="25"/>
  <c r="E40" i="25"/>
  <c r="AC28" i="25" l="1"/>
  <c r="AB28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E4C331-C18B-42B4-815A-5015D2C7330B}" keepAlive="1" name="Query - Bilans_Orlen" description="Connection to the 'Bilans_Orlen' query in the workbook." type="5" refreshedVersion="8" background="1" saveData="1">
    <dbPr connection="Provider=Microsoft.Mashup.OleDb.1;Data Source=$Workbook$;Location=Bilans_Orlen;Extended Properties=&quot;&quot;" command="SELECT * FROM [Bilans_Orlen]"/>
  </connection>
  <connection id="2" xr16:uid="{F27190D3-F7B3-4CB5-9756-3B4778D91C42}" keepAlive="1" name="Query - Bilans_Orlen (2)" description="Connection to the 'Bilans_Orlen (2)' query in the workbook." type="5" refreshedVersion="8" background="1" saveData="1">
    <dbPr connection="Provider=Microsoft.Mashup.OleDb.1;Data Source=$Workbook$;Location=&quot;Bilans_Orlen (2)&quot;;Extended Properties=&quot;&quot;" command="SELECT * FROM [Bilans_Orlen (2)]"/>
  </connection>
  <connection id="3" xr16:uid="{662DF4FF-8D17-4944-BE1D-490556F86284}" keepAlive="1" name="Query - Bilnas_Orlen_Q" description="Connection to the 'Bilnas_Orlen_Q' query in the workbook." type="5" refreshedVersion="8" background="1" saveData="1">
    <dbPr connection="Provider=Microsoft.Mashup.OleDb.1;Data Source=$Workbook$;Location=Bilnas_Orlen_Q;Extended Properties=&quot;&quot;" command="SELECT * FROM [Bilnas_Orlen_Q]"/>
  </connection>
  <connection id="4" xr16:uid="{41A67333-3B29-4B13-9A32-57A6B3A4F06B}" keepAlive="1" name="Query - Rpp_Orlen" description="Connection to the 'Rpp_Orlen' query in the workbook." type="5" refreshedVersion="8" background="1" saveData="1">
    <dbPr connection="Provider=Microsoft.Mashup.OleDb.1;Data Source=$Workbook$;Location=Rpp_Orlen;Extended Properties=&quot;&quot;" command="SELECT * FROM [Rpp_Orlen]"/>
  </connection>
  <connection id="5" xr16:uid="{EBE1AFD0-F4EA-4457-A692-618F3F18097D}" keepAlive="1" name="Query - Rpp_Orlen (2)" description="Connection to the 'Rpp_Orlen (2)' query in the workbook." type="5" refreshedVersion="8" background="1" saveData="1">
    <dbPr connection="Provider=Microsoft.Mashup.OleDb.1;Data Source=$Workbook$;Location=&quot;Rpp_Orlen (2)&quot;;Extended Properties=&quot;&quot;" command="SELECT * FROM [Rpp_Orlen (2)]"/>
  </connection>
  <connection id="6" xr16:uid="{7D86DF88-B2E5-484C-A7E4-7B6A5B1F384F}" keepAlive="1" name="Query - Rpp_Q_O" description="Connection to the 'Rpp_Q_O' query in the workbook." type="5" refreshedVersion="8" background="1" saveData="1">
    <dbPr connection="Provider=Microsoft.Mashup.OleDb.1;Data Source=$Workbook$;Location=Rpp_Q_O;Extended Properties=&quot;&quot;" command="SELECT * FROM [Rpp_Q_O]"/>
  </connection>
  <connection id="7" xr16:uid="{EAAC3196-6BD1-481B-90C7-9A147DC0F559}" keepAlive="1" name="Query - RZiS_Orlen" description="Connection to the 'RZiS_Orlen' query in the workbook." type="5" refreshedVersion="8" background="1" saveData="1">
    <dbPr connection="Provider=Microsoft.Mashup.OleDb.1;Data Source=$Workbook$;Location=RZiS_Orlen;Extended Properties=&quot;&quot;" command="SELECT * FROM [RZiS_Orlen]"/>
  </connection>
  <connection id="8" xr16:uid="{E4A9F642-F4A0-4BFF-9157-27DF900CA203}" keepAlive="1" name="Query - RZiS_Orlen (2)" description="Connection to the 'RZiS_Orlen (2)' query in the workbook." type="5" refreshedVersion="8" background="1" saveData="1">
    <dbPr connection="Provider=Microsoft.Mashup.OleDb.1;Data Source=$Workbook$;Location=&quot;RZiS_Orlen (2)&quot;;Extended Properties=&quot;&quot;" command="SELECT * FROM [RZiS_Orlen (2)]"/>
  </connection>
  <connection id="9" xr16:uid="{1BDD67F0-4071-47A8-8074-4E84F54737E1}" keepAlive="1" name="Query - RZiS_Q_Skonso_O" description="Connection to the 'RZiS_Q_Skonso_O' query in the workbook." type="5" refreshedVersion="8" background="1" saveData="1">
    <dbPr connection="Provider=Microsoft.Mashup.OleDb.1;Data Source=$Workbook$;Location=RZiS_Q_Skonso_O;Extended Properties=&quot;&quot;" command="SELECT * FROM [RZiS_Q_Skonso_O]"/>
  </connection>
  <connection id="10" xr16:uid="{A6D4D055-71A4-4E5C-B400-A2A82055A06D}" keepAlive="1" name="Query - Table 3" description="Connection to the 'Table 3' query in the workbook." type="5" refreshedVersion="0" background="1" saveData="1">
    <dbPr connection="Provider=Microsoft.Mashup.OleDb.1;Data Source=$Workbook$;Location=&quot;Table 3&quot;;Extended Properties=&quot;&quot;" command="SELECT * FROM [Table 3]"/>
  </connection>
  <connection id="11" xr16:uid="{33C1B4CA-5FC3-4374-A7F5-CC45DAA740D8}" keepAlive="1" name="Query - Wskazniki kwartalne" description="Connection to the 'Wskazniki kwartalne' query in the workbook." type="5" refreshedVersion="0" background="1" saveData="1">
    <dbPr connection="Provider=Microsoft.Mashup.OleDb.1;Data Source=$Workbook$;Location=&quot;Wskazniki kwartalne&quot;;Extended Properties=&quot;&quot;" command="SELECT * FROM [Wskazniki kwartaln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<sst xmlns="http://schemas.openxmlformats.org/spreadsheetml/2006/main" count="170" uniqueCount="119">
  <si>
    <t>Wskaźniki zadłużenia</t>
  </si>
  <si>
    <t>Wskaźniki płynności finansowej</t>
  </si>
  <si>
    <t>Wskaźniki rentowności finansowej</t>
  </si>
  <si>
    <t>Wskaźniki sprawności finansowej</t>
  </si>
  <si>
    <t>Rok</t>
  </si>
  <si>
    <t>Zadłużenie ogólne</t>
  </si>
  <si>
    <t>Zadłużenie do kapitału własnego</t>
  </si>
  <si>
    <t>Pokrycie odsetek</t>
  </si>
  <si>
    <t>Dług netto do EBITDA</t>
  </si>
  <si>
    <t>Płynności bieżącej</t>
  </si>
  <si>
    <t>Płynności szybkiej</t>
  </si>
  <si>
    <t>Płynności natychmiastowej</t>
  </si>
  <si>
    <t>Marża operacyjna EBIT</t>
  </si>
  <si>
    <t>ROA(Rentowność aktywów)</t>
  </si>
  <si>
    <t>ROE (Rentowność kapitału własnego)</t>
  </si>
  <si>
    <t>Marża netto</t>
  </si>
  <si>
    <t>Rotacja należności( w dniach)</t>
  </si>
  <si>
    <t>Rotacja zobowiazań( w dniach)</t>
  </si>
  <si>
    <t>Rotacja zapasów( w dniach)</t>
  </si>
  <si>
    <t>g</t>
  </si>
  <si>
    <t>Przepływy pieniężne z działalności operacyjnej</t>
  </si>
  <si>
    <t>Amortyzacja</t>
  </si>
  <si>
    <t>Przepływy pieniężne z działalności inwestycyjnej</t>
  </si>
  <si>
    <t>CAPEX (niematerialne i rzeczowe)</t>
  </si>
  <si>
    <t>Przepływy pieniężne z działalności finansowej</t>
  </si>
  <si>
    <t>Emisja akcji</t>
  </si>
  <si>
    <t>Dywidenda</t>
  </si>
  <si>
    <t>Skup akcji</t>
  </si>
  <si>
    <t>Płatności z tytułu umów leasingu</t>
  </si>
  <si>
    <t>Przepływy pieniężne razem</t>
  </si>
  <si>
    <t>Free Cash Flow</t>
  </si>
  <si>
    <t>Przychody ze sprzedaży</t>
  </si>
  <si>
    <t>Techniczny koszt wytworzenia produkcji sprzedanej</t>
  </si>
  <si>
    <t>Koszty sprzedaży</t>
  </si>
  <si>
    <t>Koszty ogólnego zarządu</t>
  </si>
  <si>
    <t>Zysk ze sprzedaży</t>
  </si>
  <si>
    <t>Pozostałe przychody operacyjne</t>
  </si>
  <si>
    <t>Pozostałe koszty operacyjne</t>
  </si>
  <si>
    <t>Zysk operacyjny (EBIT)</t>
  </si>
  <si>
    <t>Przychody finansowe</t>
  </si>
  <si>
    <t>Koszty finansowe</t>
  </si>
  <si>
    <t>Pozostałe przychody (koszty)</t>
  </si>
  <si>
    <t>Zysk z działalności gospodarczej</t>
  </si>
  <si>
    <t>Wynik zdarzeń nadzwyczajnych</t>
  </si>
  <si>
    <t>Zysk przed opodatkowaniem</t>
  </si>
  <si>
    <t>Zysk (strata) netto z działalności zaniechanej</t>
  </si>
  <si>
    <t>Zysk netto</t>
  </si>
  <si>
    <t>Zysk netto akcjonariuszy jednostki dominującej</t>
  </si>
  <si>
    <t>EBITDA</t>
  </si>
  <si>
    <t>Aktywa trwałe</t>
  </si>
  <si>
    <t>Wartości niematerialne i prawne</t>
  </si>
  <si>
    <t>Wartość firmy</t>
  </si>
  <si>
    <t>Rzeczowe składniki majątku trwałego</t>
  </si>
  <si>
    <t>Aktywa z tytułu prawa do użytkowania</t>
  </si>
  <si>
    <t>Należności długoterminowe</t>
  </si>
  <si>
    <t>Inwestycje długoterminowe</t>
  </si>
  <si>
    <t>Pozostałe aktywa trwałe</t>
  </si>
  <si>
    <t>Aktywa obrotowe</t>
  </si>
  <si>
    <t>Zapasy</t>
  </si>
  <si>
    <t>Należności krótkoterminowe</t>
  </si>
  <si>
    <t>Inwestycje krótkoterminowe</t>
  </si>
  <si>
    <t>Środki pieniężne i inne aktywa pieniężne</t>
  </si>
  <si>
    <t>Pozostałe aktywa obrotowe</t>
  </si>
  <si>
    <t>Aktywa trwałe przeznaczone do sprzedaży</t>
  </si>
  <si>
    <t>Aktywa razem</t>
  </si>
  <si>
    <t>Kapitał własny akcjonariuszy jednostki dominującej</t>
  </si>
  <si>
    <t>Kapitał (fundusz) podstawowy</t>
  </si>
  <si>
    <t>Udziały (akcje) własne</t>
  </si>
  <si>
    <t>Kapitał (fundusz) zapasowy</t>
  </si>
  <si>
    <t>Udziały niekontrolujące</t>
  </si>
  <si>
    <t>Zobowiązania długoterminowe</t>
  </si>
  <si>
    <t>Z tytułu dostaw i usług</t>
  </si>
  <si>
    <t>Kredyty i pożyczki</t>
  </si>
  <si>
    <t>Z tytułu emisji dłużnych papierów wartościowych</t>
  </si>
  <si>
    <t>Zobowiązania z tytułu leasingu finansowego</t>
  </si>
  <si>
    <t>Inne zobowiązania długoterminowe</t>
  </si>
  <si>
    <t>Zobowiązania krótkoterminowe</t>
  </si>
  <si>
    <t>Z tytułu dostaw i usług2</t>
  </si>
  <si>
    <t>Kredyty i pożyczki3</t>
  </si>
  <si>
    <t>Z tytułu emisji dłużnych papierów wartościowych4</t>
  </si>
  <si>
    <t>Zobowiązania z tytułu leasingu finansowego5</t>
  </si>
  <si>
    <t>Inne zobowiązania krótkoterminowe</t>
  </si>
  <si>
    <t>Rozliczenia międzyokresowe</t>
  </si>
  <si>
    <t>Pasywa razem</t>
  </si>
  <si>
    <t>Orlen Dashboard</t>
  </si>
  <si>
    <t>ROK</t>
  </si>
  <si>
    <t>Przełącz wykres</t>
  </si>
  <si>
    <t>Wybierz wykres</t>
  </si>
  <si>
    <t>Wybierz wykres do porównania</t>
  </si>
  <si>
    <t>Pokrycie odsetek zyskiem</t>
  </si>
  <si>
    <t>ROE (Rentowność kapitału własnego)(%)</t>
  </si>
  <si>
    <t xml:space="preserve"> </t>
  </si>
  <si>
    <t>Zadłużenie ogólne(%)</t>
  </si>
  <si>
    <t>Zadłużenie do kapitału własnego(%)</t>
  </si>
  <si>
    <t>Marża operacyjna EBIT(%)</t>
  </si>
  <si>
    <t>ROA(Rentowność aktywów)(%)</t>
  </si>
  <si>
    <t>Marża netto(%)</t>
  </si>
  <si>
    <t>xlookup</t>
  </si>
  <si>
    <t>Zmiana procentowa</t>
  </si>
  <si>
    <t>Odchylenie zysku netto</t>
  </si>
  <si>
    <t>Srednia zysku netto</t>
  </si>
  <si>
    <t>Brak danych</t>
  </si>
  <si>
    <t>Odchylejnie aktywow</t>
  </si>
  <si>
    <t>Srednia aktywow</t>
  </si>
  <si>
    <t>Odchylenie przeplywow</t>
  </si>
  <si>
    <t>Srednia przeplywow</t>
  </si>
  <si>
    <t>Zmiana procentowa zysku netto</t>
  </si>
  <si>
    <t>Zmiana procentowa aktywów</t>
  </si>
  <si>
    <t>Zmiana procentowa  pp</t>
  </si>
  <si>
    <t>WYBIERZ WYKRES</t>
  </si>
  <si>
    <t>Aktywa trwale</t>
  </si>
  <si>
    <t>Zysk/Strata Netto</t>
  </si>
  <si>
    <t>Kapitał własny</t>
  </si>
  <si>
    <t>Udziały Niekontrolujacy</t>
  </si>
  <si>
    <t>Zob.krótko</t>
  </si>
  <si>
    <t>Zobowiązania długo</t>
  </si>
  <si>
    <t>Cały kapitał wlasny</t>
  </si>
  <si>
    <t>Zobowiązania</t>
  </si>
  <si>
    <t>Koszty produkcji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</si>
</sst>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PLN]\ #,##0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6"/>
      <color theme="3"/>
      <name val="Aptos Narrow"/>
      <family val="2"/>
      <scheme val="minor"/>
    </font>
    <font>
      <b/>
      <sz val="16"/>
      <color theme="3" tint="0.24994659260841701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rgb="FFF2F2F2"/>
        <bgColor theme="0"/>
      </patternFill>
    </fill>
    <fill>
      <patternFill patternType="solid">
        <fgColor theme="0"/>
        <bgColor theme="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/>
      <right/>
      <top/>
      <bottom style="medium">
        <color theme="3" tint="9.9948118533890809E-2"/>
      </bottom>
      <diagonal/>
    </border>
  </borders>
  <cellStyleXfs count="8">
    <xf numFmtId="0" fontId="0" fillId="0" borderId="0"/>
    <xf numFmtId="0" fontId="2" fillId="0" borderId="0"/>
    <xf numFmtId="0" fontId="2" fillId="0" borderId="0"/>
    <xf numFmtId="0" fontId="3" fillId="0" borderId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48">
    <xf numFmtId="0" fontId="0" fillId="0" borderId="0" xfId="0"/>
    <xf numFmtId="9" fontId="0" fillId="0" borderId="0" xfId="6" applyFont="1"/>
    <xf numFmtId="2" fontId="0" fillId="0" borderId="0" xfId="0" applyNumberFormat="1"/>
    <xf numFmtId="43" fontId="0" fillId="0" borderId="0" xfId="5" applyFont="1"/>
    <xf numFmtId="0" fontId="0" fillId="2" borderId="0" xfId="0" applyFill="1"/>
    <xf numFmtId="2" fontId="0" fillId="0" borderId="0" xfId="6" applyNumberFormat="1" applyFont="1"/>
    <xf numFmtId="43" fontId="0" fillId="0" borderId="0" xfId="0" applyNumberFormat="1"/>
    <xf numFmtId="0" fontId="0" fillId="0" borderId="2" xfId="0" applyBorder="1"/>
    <xf numFmtId="0" fontId="0" fillId="4" borderId="2" xfId="0" applyFill="1" applyBorder="1"/>
    <xf numFmtId="0" fontId="6" fillId="5" borderId="3" xfId="0" applyFont="1" applyFill="1" applyBorder="1"/>
    <xf numFmtId="2" fontId="0" fillId="2" borderId="0" xfId="0" applyNumberFormat="1" applyFill="1"/>
    <xf numFmtId="10" fontId="0" fillId="2" borderId="0" xfId="0" applyNumberFormat="1" applyFill="1"/>
    <xf numFmtId="2" fontId="0" fillId="3" borderId="0" xfId="0" applyNumberFormat="1" applyFill="1"/>
    <xf numFmtId="10" fontId="0" fillId="3" borderId="0" xfId="0" applyNumberFormat="1" applyFill="1"/>
    <xf numFmtId="10" fontId="0" fillId="2" borderId="0" xfId="6" applyNumberFormat="1" applyFont="1" applyFill="1"/>
    <xf numFmtId="0" fontId="7" fillId="5" borderId="3" xfId="0" applyFont="1" applyFill="1" applyBorder="1" applyAlignment="1">
      <alignment horizontal="center" vertical="center"/>
    </xf>
    <xf numFmtId="43" fontId="0" fillId="4" borderId="3" xfId="5" applyFont="1" applyFill="1" applyBorder="1"/>
    <xf numFmtId="43" fontId="0" fillId="0" borderId="3" xfId="5" applyFont="1" applyBorder="1"/>
    <xf numFmtId="43" fontId="0" fillId="0" borderId="0" xfId="5" applyFont="1" applyAlignment="1">
      <alignment horizontal="center" vertical="center"/>
    </xf>
    <xf numFmtId="0" fontId="6" fillId="5" borderId="0" xfId="0" applyFont="1" applyFill="1"/>
    <xf numFmtId="9" fontId="0" fillId="0" borderId="3" xfId="6" applyFont="1" applyBorder="1"/>
    <xf numFmtId="10" fontId="0" fillId="0" borderId="0" xfId="5" applyNumberFormat="1" applyFont="1" applyBorder="1"/>
    <xf numFmtId="0" fontId="0" fillId="4" borderId="3" xfId="0" applyFill="1" applyBorder="1"/>
    <xf numFmtId="0" fontId="0" fillId="0" borderId="3" xfId="0" applyBorder="1"/>
    <xf numFmtId="0" fontId="1" fillId="2" borderId="4" xfId="0" applyFont="1" applyFill="1" applyBorder="1"/>
    <xf numFmtId="0" fontId="0" fillId="4" borderId="3" xfId="5" applyNumberFormat="1" applyFont="1" applyFill="1" applyBorder="1"/>
    <xf numFmtId="0" fontId="0" fillId="0" borderId="3" xfId="5" applyNumberFormat="1" applyFont="1" applyBorder="1"/>
    <xf numFmtId="0" fontId="0" fillId="4" borderId="5" xfId="0" applyFill="1" applyBorder="1"/>
    <xf numFmtId="0" fontId="8" fillId="0" borderId="0" xfId="0" applyFont="1" applyAlignment="1">
      <alignment horizontal="center" vertical="center"/>
    </xf>
    <xf numFmtId="0" fontId="11" fillId="7" borderId="0" xfId="7" applyFont="1" applyFill="1" applyAlignment="1" applyProtection="1">
      <alignment horizontal="center" vertical="center"/>
      <protection locked="0"/>
    </xf>
    <xf numFmtId="2" fontId="0" fillId="4" borderId="3" xfId="5" applyNumberFormat="1" applyFont="1" applyFill="1" applyBorder="1"/>
    <xf numFmtId="2" fontId="0" fillId="0" borderId="3" xfId="5" applyNumberFormat="1" applyFont="1" applyBorder="1"/>
    <xf numFmtId="0" fontId="0" fillId="0" borderId="0" xfId="0" applyAlignment="1">
      <alignment horizontal="center" vertical="center"/>
    </xf>
    <xf numFmtId="0" fontId="12" fillId="0" borderId="0" xfId="5" applyNumberFormat="1" applyFont="1" applyAlignment="1">
      <alignment horizontal="center" vertical="center"/>
    </xf>
    <xf numFmtId="0" fontId="0" fillId="0" borderId="0" xfId="5" applyNumberFormat="1" applyFont="1" applyAlignment="1">
      <alignment horizontal="center" vertical="center"/>
    </xf>
    <xf numFmtId="0" fontId="13" fillId="0" borderId="0" xfId="5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0" fillId="0" borderId="0" xfId="5" applyNumberFormat="1" applyFont="1"/>
    <xf numFmtId="164" fontId="0" fillId="0" borderId="0" xfId="5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  <xf numFmtId="10" fontId="0" fillId="0" borderId="0" xfId="6" applyNumberFormat="1" applyFont="1"/>
    <xf numFmtId="10" fontId="0" fillId="0" borderId="0" xfId="0" applyNumberFormat="1"/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Calculation" xfId="7" builtinId="22" customBuiltin="1"/>
    <cellStyle name="Comma" xfId="5" builtinId="3"/>
    <cellStyle name="Comma 2" xfId="4" xr:uid="{FF22F467-4BF7-4084-93C5-DF6896F587AB}"/>
    <cellStyle name="MAND_x000d_CHECK.COMMAND_x000e_RENAME.COMMAND_x0008_SHOW.BAR_x000b_DELETE.MENU_x000e_DELETE.COMMAND_x000e_GET.CHA" xfId="1" xr:uid="{EFF535F6-34E8-49EF-B2A5-46BD4EB06A7D}"/>
    <cellStyle name="MAND_x000d_CHECK.COMMAND_x000e_RENAME.COMMAND_x0008_SHOW.BAR_x000b_DELETE.MENU_x000e_DELETE.COMMAND_x000e_GET.CHA 2 2" xfId="2" xr:uid="{6AC0AD6C-3673-4953-A9B8-AD929116E90A}"/>
    <cellStyle name="Normal" xfId="0" builtinId="0"/>
    <cellStyle name="Normal 2" xfId="3" xr:uid="{000B314C-4A7B-45A2-9C32-457277CF39BB}"/>
    <cellStyle name="Per cent" xfId="6" builtinId="5"/>
  </cellStyles>
  <dxfs count="88"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rgbClr val="0070C0"/>
                </a:solidFill>
              </a:rPr>
              <a:t>Podział aktywów trwałych i  obrotowych</a:t>
            </a:r>
          </a:p>
        </c:rich>
      </c:tx>
      <c:layout>
        <c:manualLayout>
          <c:xMode val="edge"/>
          <c:yMode val="edge"/>
          <c:x val="0.15119715251420912"/>
          <c:y val="6.43796944736746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6A1-4EA4-9C3F-73868529C2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6A1-4EA4-9C3F-73868529C27A}"/>
              </c:ext>
            </c:extLst>
          </c:dPt>
          <c:dLbls>
            <c:dLbl>
              <c:idx val="0"/>
              <c:layout>
                <c:manualLayout>
                  <c:x val="-9.3723540852357484E-2"/>
                  <c:y val="-0.1013943289544908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9351328386110006"/>
                      <c:h val="0.208836725597979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6A1-4EA4-9C3F-73868529C27A}"/>
                </c:ext>
              </c:extLst>
            </c:dLbl>
            <c:dLbl>
              <c:idx val="1"/>
              <c:layout>
                <c:manualLayout>
                  <c:x val="6.755405124719123E-2"/>
                  <c:y val="8.8927840911812661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7432863158292261"/>
                      <c:h val="0.189968801069677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A1-4EA4-9C3F-73868529C27A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Validation'!$P$25:$Q$25</c:f>
              <c:strCache>
                <c:ptCount val="2"/>
                <c:pt idx="0">
                  <c:v>Aktywa trwałe</c:v>
                </c:pt>
                <c:pt idx="1">
                  <c:v>Aktywa obrotowe</c:v>
                </c:pt>
              </c:strCache>
            </c:strRef>
          </c:cat>
          <c:val>
            <c:numRef>
              <c:f>'Data Validation'!$P$26:$Q$26</c:f>
              <c:numCache>
                <c:formatCode>General</c:formatCode>
                <c:ptCount val="2"/>
                <c:pt idx="0">
                  <c:v>153117000</c:v>
                </c:pt>
                <c:pt idx="1">
                  <c:v>119210000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A1-4EA4-9C3F-73868529C27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90692800090634"/>
          <c:y val="0.28610628978921199"/>
          <c:w val="0.3183339942219453"/>
          <c:h val="0.4766210685823503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rgbClr val="0070C0"/>
                </a:solidFill>
              </a:rPr>
              <a:t>Podział kapitału własnego i zobowiązań</a:t>
            </a:r>
          </a:p>
        </c:rich>
      </c:tx>
      <c:layout>
        <c:manualLayout>
          <c:xMode val="edge"/>
          <c:yMode val="edge"/>
          <c:x val="0.12893896619291031"/>
          <c:y val="4.09356725146198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7B-48A5-BD7C-A8D97F3EF3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7B-48A5-BD7C-A8D97F3EF314}"/>
              </c:ext>
            </c:extLst>
          </c:dPt>
          <c:dLbls>
            <c:dLbl>
              <c:idx val="0"/>
              <c:layout>
                <c:manualLayout>
                  <c:x val="-8.3404695653740923E-2"/>
                  <c:y val="5.2367479639860534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048507443684154"/>
                      <c:h val="0.2059228253300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C7B-48A5-BD7C-A8D97F3EF314}"/>
                </c:ext>
              </c:extLst>
            </c:dLbl>
            <c:dLbl>
              <c:idx val="1"/>
              <c:layout>
                <c:manualLayout>
                  <c:x val="6.9853265227694097E-2"/>
                  <c:y val="3.9569817283680475E-2"/>
                </c:manualLayout>
              </c:layout>
              <c:numFmt formatCode="\ #,##0,,\ &quot;MLD ZŁ&quot;" sourceLinked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2312190107654598"/>
                      <c:h val="0.199721271914190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C7B-48A5-BD7C-A8D97F3EF314}"/>
                </c:ext>
              </c:extLst>
            </c:dLbl>
            <c:numFmt formatCode="\ #,##0,,\ &quot;MLD ZŁ&quot;" sourceLinked="0"/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Validation'!$I$47:$J$47</c:f>
              <c:strCache>
                <c:ptCount val="2"/>
                <c:pt idx="0">
                  <c:v>Cały kapitał wlasny</c:v>
                </c:pt>
                <c:pt idx="1">
                  <c:v>Zobowiązania</c:v>
                </c:pt>
              </c:strCache>
            </c:strRef>
          </c:cat>
          <c:val>
            <c:numRef>
              <c:f>'Data Validation'!$I$48:$J$48</c:f>
              <c:numCache>
                <c:formatCode>General</c:formatCode>
                <c:ptCount val="2"/>
                <c:pt idx="0">
                  <c:v>136959000</c:v>
                </c:pt>
                <c:pt idx="1">
                  <c:v>135368000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7B-48A5-BD7C-A8D97F3EF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6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Validation'!$I$49:$J$49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C7B-48A5-BD7C-A8D97F3EF31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Validation'!$I$50:$J$50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C7B-48A5-BD7C-A8D97F3EF314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0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2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Validation'!$I$51:$J$51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C7B-48A5-BD7C-A8D97F3EF314}"/>
                  </c:ext>
                </c:extLst>
              </c15:ser>
            </c15:filteredPieSeries>
            <c15:filteredPieSeries>
              <c15:ser>
                <c:idx val="4"/>
                <c:order val="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Validation'!$I$52:$J$52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C7B-48A5-BD7C-A8D97F3EF314}"/>
                  </c:ext>
                </c:extLst>
              </c15:ser>
            </c15:filteredPieSeries>
            <c15:filteredPieSeries>
              <c15:ser>
                <c:idx val="5"/>
                <c:order val="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A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C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Validation'!$I$53:$J$53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C7B-48A5-BD7C-A8D97F3EF314}"/>
                  </c:ext>
                </c:extLst>
              </c15:ser>
            </c15:filteredPieSeries>
            <c15:filteredPieSeries>
              <c15:ser>
                <c:idx val="6"/>
                <c:order val="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Validation'!$I$54:$J$54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C7B-48A5-BD7C-A8D97F3EF314}"/>
                  </c:ext>
                </c:extLst>
              </c15:ser>
            </c15:filteredPieSeries>
            <c15:filteredPieSeries>
              <c15:ser>
                <c:idx val="7"/>
                <c:order val="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Validation'!$I$55:$J$55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C7B-48A5-BD7C-A8D97F3EF314}"/>
                  </c:ext>
                </c:extLst>
              </c15:ser>
            </c15:filteredPieSeries>
            <c15:filteredPieSeries>
              <c15:ser>
                <c:idx val="8"/>
                <c:order val="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Validation'!$I$56:$J$56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C7B-48A5-BD7C-A8D97F3EF314}"/>
                  </c:ext>
                </c:extLst>
              </c15:ser>
            </c15:filteredPieSeries>
            <c15:filteredPieSeries>
              <c15:ser>
                <c:idx val="9"/>
                <c:order val="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Validation'!$I$57:$J$57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C7B-48A5-BD7C-A8D97F3EF314}"/>
                  </c:ext>
                </c:extLst>
              </c15:ser>
            </c15:filteredPieSeries>
            <c15:filteredPieSeries>
              <c15:ser>
                <c:idx val="10"/>
                <c:order val="1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Validation'!$I$58:$J$58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C7B-48A5-BD7C-A8D97F3EF314}"/>
                  </c:ext>
                </c:extLst>
              </c15:ser>
            </c15:filteredPieSeries>
            <c15:filteredPieSeries>
              <c15:ser>
                <c:idx val="11"/>
                <c:order val="1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Validation'!$I$59:$J$59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C7B-48A5-BD7C-A8D97F3EF314}"/>
                  </c:ext>
                </c:extLst>
              </c15:ser>
            </c15:filteredPieSeries>
            <c15:filteredPieSeries>
              <c15:ser>
                <c:idx val="12"/>
                <c:order val="1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Validation'!$I$60:$J$60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C7B-48A5-BD7C-A8D97F3EF314}"/>
                  </c:ext>
                </c:extLst>
              </c15:ser>
            </c15:filteredPieSeries>
            <c15:filteredPieSeries>
              <c15:ser>
                <c:idx val="13"/>
                <c:order val="1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2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4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Validation'!$I$61:$J$61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C7B-48A5-BD7C-A8D97F3EF314}"/>
                  </c:ext>
                </c:extLst>
              </c15:ser>
            </c15:filteredPieSeries>
            <c15:filteredPieSeries>
              <c15:ser>
                <c:idx val="14"/>
                <c:order val="1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Validation'!$I$62:$J$62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3C7B-48A5-BD7C-A8D97F3EF314}"/>
                  </c:ext>
                </c:extLst>
              </c15:ser>
            </c15:filteredPieSeries>
            <c15:filteredPieSeries>
              <c15:ser>
                <c:idx val="15"/>
                <c:order val="1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Validation'!$I$63:$J$63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3C7B-48A5-BD7C-A8D97F3EF314}"/>
                  </c:ext>
                </c:extLst>
              </c15:ser>
            </c15:filteredPieSeries>
            <c15:filteredPieSeries>
              <c15:ser>
                <c:idx val="16"/>
                <c:order val="1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Validation'!$I$64:$J$64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3C7B-48A5-BD7C-A8D97F3EF314}"/>
                  </c:ext>
                </c:extLst>
              </c15:ser>
            </c15:filteredPieSeries>
            <c15:filteredPieSeries>
              <c15:ser>
                <c:idx val="17"/>
                <c:order val="1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Validation'!$I$65:$J$65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3C7B-48A5-BD7C-A8D97F3EF314}"/>
                  </c:ext>
                </c:extLst>
              </c15:ser>
            </c15:filteredPieSeries>
            <c15:filteredPieSeries>
              <c15:ser>
                <c:idx val="18"/>
                <c:order val="1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Validation'!$I$66:$J$66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3C7B-48A5-BD7C-A8D97F3EF314}"/>
                  </c:ext>
                </c:extLst>
              </c15:ser>
            </c15:filteredPieSeries>
            <c15:filteredPieSeries>
              <c15:ser>
                <c:idx val="19"/>
                <c:order val="1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Validation'!$I$67:$J$67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3C7B-48A5-BD7C-A8D97F3EF314}"/>
                  </c:ext>
                </c:extLst>
              </c15:ser>
            </c15:filteredPieSeries>
            <c15:filteredPieSeries>
              <c15:ser>
                <c:idx val="20"/>
                <c:order val="2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</c:v>
                      </c:pt>
                      <c:pt idx="1">
                        <c:v>Zobowiązania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Validation'!$I$68:$J$68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8-3C7B-48A5-BD7C-A8D97F3EF314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185386633286539"/>
          <c:y val="0.32730466384009693"/>
          <c:w val="0.25585756871508797"/>
          <c:h val="0.5018894826232509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solidFill>
                  <a:srgbClr val="0070C0"/>
                </a:solidFill>
              </a:rPr>
              <a:t>Struktura kosztów</a:t>
            </a:r>
          </a:p>
        </c:rich>
      </c:tx>
      <c:layout>
        <c:manualLayout>
          <c:xMode val="edge"/>
          <c:yMode val="edge"/>
          <c:x val="0.25972222222222224"/>
          <c:y val="4.255319148936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21672768610929E-5"/>
          <c:y val="0.29261751371987593"/>
          <c:w val="0.98760673665791776"/>
          <c:h val="0.63347796950913049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EB-44C6-A422-4F4727DB1D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EB-44C6-A422-4F4727DB1D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DEB-44C6-A422-4F4727DB1D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DEB-44C6-A422-4F4727DB1D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DEB-44C6-A422-4F4727DB1D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7-3DEB-44C6-A422-4F4727DB1DE4}"/>
              </c:ext>
            </c:extLst>
          </c:dPt>
          <c:dLbls>
            <c:dLbl>
              <c:idx val="1"/>
              <c:layout>
                <c:manualLayout>
                  <c:x val="-4.7510279965004426E-2"/>
                  <c:y val="1.202881554699279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EB-44C6-A422-4F4727DB1DE4}"/>
                </c:ext>
              </c:extLst>
            </c:dLbl>
            <c:dLbl>
              <c:idx val="2"/>
              <c:layout>
                <c:manualLayout>
                  <c:x val="-3.4312117235345579E-2"/>
                  <c:y val="2.832188529625279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DEB-44C6-A422-4F4727DB1DE4}"/>
                </c:ext>
              </c:extLst>
            </c:dLbl>
            <c:dLbl>
              <c:idx val="5"/>
              <c:layout>
                <c:manualLayout>
                  <c:x val="-6.1772965879265146E-2"/>
                  <c:y val="7.562796671692634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3DEB-44C6-A422-4F4727DB1DE4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Validation'!$H$72:$L$72</c:f>
              <c:strCache>
                <c:ptCount val="5"/>
                <c:pt idx="0">
                  <c:v>Koszty produkcji</c:v>
                </c:pt>
                <c:pt idx="1">
                  <c:v>Koszty sprzedaży</c:v>
                </c:pt>
                <c:pt idx="2">
                  <c:v>Koszty ogólnego zarządu</c:v>
                </c:pt>
                <c:pt idx="3">
                  <c:v>Pozostałe koszty operacyjne</c:v>
                </c:pt>
                <c:pt idx="4">
                  <c:v>Koszty finansowe</c:v>
                </c:pt>
              </c:strCache>
            </c:strRef>
          </c:cat>
          <c:val>
            <c:numRef>
              <c:f>'Data Validation'!$H$73:$L$73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EB-44C6-A422-4F4727DB1DE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40"/>
        <c:secondPieSize val="80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E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0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2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4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Validation'!$H$74:$L$74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3DEB-44C6-A422-4F4727DB1DE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Validation'!$H$75:$L$75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EB-44C6-A422-4F4727DB1DE4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Validation'!$H$76:$L$76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EB-44C6-A422-4F4727DB1DE4}"/>
                  </c:ext>
                </c:extLst>
              </c15:ser>
            </c15:filteredPieSeries>
            <c15:filteredPieSeries>
              <c15:ser>
                <c:idx val="4"/>
                <c:order val="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Validation'!$H$77:$L$77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EB-44C6-A422-4F4727DB1DE4}"/>
                  </c:ext>
                </c:extLst>
              </c15:ser>
            </c15:filteredPieSeries>
            <c15:filteredPieSeries>
              <c15:ser>
                <c:idx val="5"/>
                <c:order val="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Validation'!$H$78:$L$78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DEB-44C6-A422-4F4727DB1DE4}"/>
                  </c:ext>
                </c:extLst>
              </c15:ser>
            </c15:filteredPieSeries>
            <c15:filteredPieSeries>
              <c15:ser>
                <c:idx val="6"/>
                <c:order val="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Validation'!$H$79:$L$79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3DEB-44C6-A422-4F4727DB1DE4}"/>
                  </c:ext>
                </c:extLst>
              </c15:ser>
            </c15:filteredPieSeries>
            <c15:filteredPieSeries>
              <c15:ser>
                <c:idx val="7"/>
                <c:order val="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Validation'!$H$80:$L$80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3DEB-44C6-A422-4F4727DB1DE4}"/>
                  </c:ext>
                </c:extLst>
              </c15:ser>
            </c15:filteredPieSeries>
            <c15:filteredPieSeries>
              <c15:ser>
                <c:idx val="8"/>
                <c:order val="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Validation'!$H$81:$L$81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3DEB-44C6-A422-4F4727DB1DE4}"/>
                  </c:ext>
                </c:extLst>
              </c15:ser>
            </c15:filteredPieSeries>
            <c15:filteredPieSeries>
              <c15:ser>
                <c:idx val="9"/>
                <c:order val="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Validation'!$H$82:$L$82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3DEB-44C6-A422-4F4727DB1DE4}"/>
                  </c:ext>
                </c:extLst>
              </c15:ser>
            </c15:filteredPieSeries>
            <c15:filteredPieSeries>
              <c15:ser>
                <c:idx val="10"/>
                <c:order val="1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Validation'!$H$83:$L$83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3DEB-44C6-A422-4F4727DB1DE4}"/>
                  </c:ext>
                </c:extLst>
              </c15:ser>
            </c15:filteredPieSeries>
            <c15:filteredPieSeries>
              <c15:ser>
                <c:idx val="11"/>
                <c:order val="1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Validation'!$H$84:$L$84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3DEB-44C6-A422-4F4727DB1DE4}"/>
                  </c:ext>
                </c:extLst>
              </c15:ser>
            </c15:filteredPieSeries>
            <c15:filteredPieSeries>
              <c15:ser>
                <c:idx val="12"/>
                <c:order val="1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D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Validation'!$H$85:$L$85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3DEB-44C6-A422-4F4727DB1DE4}"/>
                  </c:ext>
                </c:extLst>
              </c15:ser>
            </c15:filteredPieSeries>
            <c15:filteredPieSeries>
              <c15:ser>
                <c:idx val="13"/>
                <c:order val="1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Validation'!$H$86:$L$86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3DEB-44C6-A422-4F4727DB1DE4}"/>
                  </c:ext>
                </c:extLst>
              </c15:ser>
            </c15:filteredPieSeries>
            <c15:filteredPieSeries>
              <c15:ser>
                <c:idx val="14"/>
                <c:order val="1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D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F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1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3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Validation'!$H$87:$L$87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4-3DEB-44C6-A422-4F4727DB1DE4}"/>
                  </c:ext>
                </c:extLst>
              </c15:ser>
            </c15:filteredPieSeries>
            <c15:filteredPieSeries>
              <c15:ser>
                <c:idx val="15"/>
                <c:order val="1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6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8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A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C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E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Validation'!$H$88:$L$88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F-3DEB-44C6-A422-4F4727DB1DE4}"/>
                  </c:ext>
                </c:extLst>
              </c15:ser>
            </c15:filteredPieSeries>
            <c15:filteredPieSeries>
              <c15:ser>
                <c:idx val="16"/>
                <c:order val="1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1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3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5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7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9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Validation'!$H$89:$L$89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BA-3DEB-44C6-A422-4F4727DB1DE4}"/>
                  </c:ext>
                </c:extLst>
              </c15:ser>
            </c15:filteredPieSeries>
            <c15:filteredPieSeries>
              <c15:ser>
                <c:idx val="17"/>
                <c:order val="1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C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E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0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2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4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Validation'!$H$90:$L$90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C5-3DEB-44C6-A422-4F4727DB1DE4}"/>
                  </c:ext>
                </c:extLst>
              </c15:ser>
            </c15:filteredPieSeries>
            <c15:filteredPieSeries>
              <c15:ser>
                <c:idx val="18"/>
                <c:order val="1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7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9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B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D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F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Validation'!$H$91:$L$91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D0-3DEB-44C6-A422-4F4727DB1DE4}"/>
                  </c:ext>
                </c:extLst>
              </c15:ser>
            </c15:filteredPieSeries>
            <c15:filteredPieSeries>
              <c15:ser>
                <c:idx val="19"/>
                <c:order val="1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2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4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6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8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A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Validation'!$H$92:$L$92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DB-3DEB-44C6-A422-4F4727DB1DE4}"/>
                  </c:ext>
                </c:extLst>
              </c15:ser>
            </c15:filteredPieSeries>
            <c15:filteredPieSeries>
              <c15:ser>
                <c:idx val="20"/>
                <c:order val="2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D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F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1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3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5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Validation'!$H$93:$L$93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E6-3DEB-44C6-A422-4F4727DB1DE4}"/>
                  </c:ext>
                </c:extLst>
              </c15:ser>
            </c15:filteredPieSeries>
          </c:ext>
        </c:extLst>
      </c:of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42570792045828"/>
          <c:y val="6.2391235186510775E-2"/>
          <c:w val="0.22857429207954161"/>
          <c:h val="0.9376087563522644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Validation'!$AB$27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0"/>
            </a:sp3d>
          </c:spPr>
          <c:invertIfNegative val="0"/>
          <c:cat>
            <c:numRef>
              <c:f>'Data Validation'!$W$28:$W$48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Validation'!$AB$28:$AB$48</c:f>
              <c:numCache>
                <c:formatCode>General</c:formatCode>
                <c:ptCount val="21"/>
                <c:pt idx="0">
                  <c:v>3636845</c:v>
                </c:pt>
                <c:pt idx="1">
                  <c:v>3663889</c:v>
                </c:pt>
                <c:pt idx="2">
                  <c:v>3693189</c:v>
                </c:pt>
                <c:pt idx="3">
                  <c:v>1965066</c:v>
                </c:pt>
                <c:pt idx="4">
                  <c:v>3616760</c:v>
                </c:pt>
                <c:pt idx="5">
                  <c:v>5161793</c:v>
                </c:pt>
                <c:pt idx="6">
                  <c:v>6110199</c:v>
                </c:pt>
                <c:pt idx="7">
                  <c:v>761106</c:v>
                </c:pt>
                <c:pt idx="8">
                  <c:v>3089185</c:v>
                </c:pt>
                <c:pt idx="9">
                  <c:v>5671000</c:v>
                </c:pt>
                <c:pt idx="10">
                  <c:v>3187000</c:v>
                </c:pt>
                <c:pt idx="11">
                  <c:v>5354000</c:v>
                </c:pt>
                <c:pt idx="12">
                  <c:v>9331000</c:v>
                </c:pt>
                <c:pt idx="13">
                  <c:v>8050000</c:v>
                </c:pt>
                <c:pt idx="14">
                  <c:v>4979000</c:v>
                </c:pt>
                <c:pt idx="15">
                  <c:v>9319000</c:v>
                </c:pt>
                <c:pt idx="16">
                  <c:v>7247000</c:v>
                </c:pt>
                <c:pt idx="17">
                  <c:v>13296000</c:v>
                </c:pt>
                <c:pt idx="18">
                  <c:v>#N/A</c:v>
                </c:pt>
                <c:pt idx="19">
                  <c:v>41914000</c:v>
                </c:pt>
                <c:pt idx="20">
                  <c:v>36634000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0B-404F-A98F-E4EB442B0C28}"/>
            </c:ext>
          </c:extLst>
        </c:ser>
        <c:ser>
          <c:idx val="1"/>
          <c:order val="1"/>
          <c:tx>
            <c:strRef>
              <c:f>'Data Validation'!$AC$27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0">
                <a:solidFill>
                  <a:srgbClr val="EE0000">
                    <a:alpha val="95000"/>
                  </a:srgb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F0B-404F-A98F-E4EB442B0C28}"/>
              </c:ext>
            </c:extLst>
          </c:dPt>
          <c:cat>
            <c:numRef>
              <c:f>'Data Validation'!$W$28:$W$48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Validation'!$AC$28:$AC$48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30951000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0B-404F-A98F-E4EB442B0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4"/>
        <c:axId val="2045305295"/>
        <c:axId val="2045301935"/>
      </c:barChart>
      <c:catAx>
        <c:axId val="2045305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01935"/>
        <c:crosses val="autoZero"/>
        <c:auto val="1"/>
        <c:lblAlgn val="ctr"/>
        <c:lblOffset val="100"/>
        <c:noMultiLvlLbl val="0"/>
      </c:catAx>
      <c:valAx>
        <c:axId val="2045301935"/>
        <c:scaling>
          <c:orientation val="minMax"/>
        </c:scaling>
        <c:delete val="0"/>
        <c:axPos val="l"/>
        <c:numFmt formatCode="#,##0,,\ &quot;MLD ZŁ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05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83038884845277E-2"/>
          <c:y val="0.13989200746525576"/>
          <c:w val="0.9296280611982326"/>
          <c:h val="0.8421144408545983"/>
        </c:manualLayout>
      </c:layout>
      <c:lineChart>
        <c:grouping val="standard"/>
        <c:varyColors val="0"/>
        <c:ser>
          <c:idx val="0"/>
          <c:order val="0"/>
          <c:tx>
            <c:strRef>
              <c:f>'Data Validation'!$C$24</c:f>
              <c:strCache>
                <c:ptCount val="1"/>
                <c:pt idx="0">
                  <c:v>Pokrycie odsetek zyskiem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Validation'!$C$25:$C$45</c:f>
              <c:numCache>
                <c:formatCode>General</c:formatCode>
                <c:ptCount val="21"/>
                <c:pt idx="0">
                  <c:v>9.5616993300015274</c:v>
                </c:pt>
                <c:pt idx="1">
                  <c:v>11.98110142754506</c:v>
                </c:pt>
                <c:pt idx="2">
                  <c:v>5.0685634981918142</c:v>
                </c:pt>
                <c:pt idx="3">
                  <c:v>3.8670092530702331</c:v>
                </c:pt>
                <c:pt idx="4">
                  <c:v>-0.27789300845878917</c:v>
                </c:pt>
                <c:pt idx="5">
                  <c:v>2.4081601135401742</c:v>
                </c:pt>
                <c:pt idx="6">
                  <c:v>5.0867556386173405</c:v>
                </c:pt>
                <c:pt idx="7">
                  <c:v>2.2445489094698363</c:v>
                </c:pt>
                <c:pt idx="8">
                  <c:v>3.6746570107192431</c:v>
                </c:pt>
                <c:pt idx="9">
                  <c:v>1.2834394904458599</c:v>
                </c:pt>
                <c:pt idx="10">
                  <c:v>-2.3065113816834302</c:v>
                </c:pt>
                <c:pt idx="11">
                  <c:v>4.583333333333333</c:v>
                </c:pt>
                <c:pt idx="12">
                  <c:v>8.712206047032474</c:v>
                </c:pt>
                <c:pt idx="13">
                  <c:v>6.1276470588235297</c:v>
                </c:pt>
                <c:pt idx="14">
                  <c:v>5.6137112722478575</c:v>
                </c:pt>
                <c:pt idx="15">
                  <c:v>6.940066592674806</c:v>
                </c:pt>
                <c:pt idx="16">
                  <c:v>2.5468501852832186</c:v>
                </c:pt>
                <c:pt idx="17">
                  <c:v>15.135330578512397</c:v>
                </c:pt>
                <c:pt idx="18">
                  <c:v>15.766460531102219</c:v>
                </c:pt>
                <c:pt idx="19">
                  <c:v>15.106095858538856</c:v>
                </c:pt>
                <c:pt idx="20">
                  <c:v>10.55576323987539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A-4296-BD70-6DF41B594143}"/>
            </c:ext>
          </c:extLst>
        </c:ser>
        <c:ser>
          <c:idx val="1"/>
          <c:order val="1"/>
          <c:tx>
            <c:strRef>
              <c:f>'Data Validation'!$D$24</c:f>
              <c:strCache>
                <c:ptCount val="1"/>
                <c:pt idx="0">
                  <c:v>ROE (Rentowność kapitału własnego)(%)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Validation'!$D$25:$D$45</c:f>
              <c:numCache>
                <c:formatCode>General</c:formatCode>
                <c:ptCount val="21"/>
                <c:pt idx="0">
                  <c:v>19.236441834839241</c:v>
                </c:pt>
                <c:pt idx="1">
                  <c:v>27.818026291883729</c:v>
                </c:pt>
                <c:pt idx="2">
                  <c:v>10.928887365828972</c:v>
                </c:pt>
                <c:pt idx="3">
                  <c:v>12.442359258071159</c:v>
                </c:pt>
                <c:pt idx="4">
                  <c:v>-14.184096404155797</c:v>
                </c:pt>
                <c:pt idx="5">
                  <c:v>6.8293603554971369</c:v>
                </c:pt>
                <c:pt idx="6">
                  <c:v>11.353218230975139</c:v>
                </c:pt>
                <c:pt idx="7">
                  <c:v>8.2131802556418858</c:v>
                </c:pt>
                <c:pt idx="8">
                  <c:v>8.1950778926860561</c:v>
                </c:pt>
                <c:pt idx="9">
                  <c:v>0.34684754123631878</c:v>
                </c:pt>
                <c:pt idx="10">
                  <c:v>-31.047893026477013</c:v>
                </c:pt>
                <c:pt idx="11">
                  <c:v>14.580796464168133</c:v>
                </c:pt>
                <c:pt idx="12">
                  <c:v>21.446719473920194</c:v>
                </c:pt>
                <c:pt idx="13">
                  <c:v>22.27847314967233</c:v>
                </c:pt>
                <c:pt idx="14">
                  <c:v>15.465566593702643</c:v>
                </c:pt>
                <c:pt idx="15">
                  <c:v>11.135869001969116</c:v>
                </c:pt>
                <c:pt idx="16">
                  <c:v>6.7915184152322343</c:v>
                </c:pt>
                <c:pt idx="17">
                  <c:v>21.637302492892648</c:v>
                </c:pt>
                <c:pt idx="18">
                  <c:v>24.737399593962397</c:v>
                </c:pt>
                <c:pt idx="19">
                  <c:v>13.628831814415907</c:v>
                </c:pt>
                <c:pt idx="20">
                  <c:v>5.2248807599826561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A-4296-BD70-6DF41B594143}"/>
            </c:ext>
          </c:extLst>
        </c:ser>
        <c:ser>
          <c:idx val="2"/>
          <c:order val="2"/>
          <c:tx>
            <c:strRef>
              <c:f>'Data Validation'!$F$24</c:f>
              <c:strCache>
                <c:ptCount val="1"/>
              </c:strCache>
            </c:strRef>
          </c:tx>
          <c:spPr>
            <a:ln w="38100" cap="rnd">
              <a:solidFill>
                <a:srgbClr val="EE0000"/>
              </a:solidFill>
              <a:round/>
            </a:ln>
            <a:effectLst/>
          </c:spPr>
          <c:marker>
            <c:symbol val="x"/>
            <c:size val="7"/>
            <c:spPr>
              <a:solidFill>
                <a:srgbClr val="EE0000"/>
              </a:solidFill>
              <a:ln w="31750">
                <a:solidFill>
                  <a:srgbClr val="EE0000"/>
                </a:solidFill>
                <a:round/>
              </a:ln>
              <a:effectLst/>
            </c:spPr>
          </c:marker>
          <c:dPt>
            <c:idx val="0"/>
            <c:marker>
              <c:symbol val="x"/>
              <c:size val="6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C4A-4296-BD70-6DF41B594143}"/>
              </c:ext>
            </c:extLst>
          </c:dPt>
          <c:dPt>
            <c:idx val="12"/>
            <c:marker>
              <c:symbol val="x"/>
              <c:size val="7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spPr>
              <a:ln w="38100" cap="rnd">
                <a:solidFill>
                  <a:srgbClr val="EE0000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A-4296-BD70-6DF41B594143}"/>
              </c:ext>
            </c:extLst>
          </c:dPt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Validation'!$F$25:$F$45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15.766460531102219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4A-4296-BD70-6DF41B594143}"/>
            </c:ext>
          </c:extLst>
        </c:ser>
        <c:ser>
          <c:idx val="3"/>
          <c:order val="3"/>
          <c:tx>
            <c:strRef>
              <c:f>'Data Validation'!$H$24</c:f>
              <c:strCache>
                <c:ptCount val="1"/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x"/>
            <c:size val="7"/>
            <c:spPr>
              <a:solidFill>
                <a:srgbClr val="EE0000"/>
              </a:solidFill>
              <a:ln w="31750">
                <a:solidFill>
                  <a:srgbClr val="EE0000"/>
                </a:solidFill>
                <a:round/>
              </a:ln>
              <a:effectLst/>
            </c:spPr>
          </c:marker>
          <c:dPt>
            <c:idx val="12"/>
            <c:marker>
              <c:symbol val="x"/>
              <c:size val="7"/>
              <c:spPr>
                <a:solidFill>
                  <a:srgbClr val="EE0000"/>
                </a:solidFill>
                <a:ln w="31750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spPr>
              <a:ln w="38100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C4A-4296-BD70-6DF41B594143}"/>
              </c:ext>
            </c:extLst>
          </c:dPt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Validation'!$H$25:$H$45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24.737399593962397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4A-4296-BD70-6DF41B594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252975"/>
        <c:axId val="2045253455"/>
      </c:lineChart>
      <c:catAx>
        <c:axId val="204525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53455"/>
        <c:crosses val="autoZero"/>
        <c:auto val="1"/>
        <c:lblAlgn val="ctr"/>
        <c:lblOffset val="100"/>
        <c:noMultiLvlLbl val="0"/>
      </c:catAx>
      <c:valAx>
        <c:axId val="2045253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5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0041538925281403E-2"/>
          <c:y val="2.0151128172282096E-2"/>
          <c:w val="0.97804936147687427"/>
          <c:h val="0.14891049038114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'Data Validation'!$C$24</c:f>
              <c:strCache>
                <c:ptCount val="1"/>
                <c:pt idx="0">
                  <c:v>Pokrycie odsetek zyskiem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Validation'!$C$25:$C$45</c:f>
              <c:numCache>
                <c:formatCode>General</c:formatCode>
                <c:ptCount val="21"/>
                <c:pt idx="0">
                  <c:v>9.5616993300015274</c:v>
                </c:pt>
                <c:pt idx="1">
                  <c:v>11.98110142754506</c:v>
                </c:pt>
                <c:pt idx="2">
                  <c:v>5.0685634981918142</c:v>
                </c:pt>
                <c:pt idx="3">
                  <c:v>3.8670092530702331</c:v>
                </c:pt>
                <c:pt idx="4">
                  <c:v>-0.27789300845878917</c:v>
                </c:pt>
                <c:pt idx="5">
                  <c:v>2.4081601135401742</c:v>
                </c:pt>
                <c:pt idx="6">
                  <c:v>5.0867556386173405</c:v>
                </c:pt>
                <c:pt idx="7">
                  <c:v>2.2445489094698363</c:v>
                </c:pt>
                <c:pt idx="8">
                  <c:v>3.6746570107192431</c:v>
                </c:pt>
                <c:pt idx="9">
                  <c:v>1.2834394904458599</c:v>
                </c:pt>
                <c:pt idx="10">
                  <c:v>-2.3065113816834302</c:v>
                </c:pt>
                <c:pt idx="11">
                  <c:v>4.583333333333333</c:v>
                </c:pt>
                <c:pt idx="12">
                  <c:v>8.712206047032474</c:v>
                </c:pt>
                <c:pt idx="13">
                  <c:v>6.1276470588235297</c:v>
                </c:pt>
                <c:pt idx="14">
                  <c:v>5.6137112722478575</c:v>
                </c:pt>
                <c:pt idx="15">
                  <c:v>6.940066592674806</c:v>
                </c:pt>
                <c:pt idx="16">
                  <c:v>2.5468501852832186</c:v>
                </c:pt>
                <c:pt idx="17">
                  <c:v>15.135330578512397</c:v>
                </c:pt>
                <c:pt idx="18">
                  <c:v>15.766460531102219</c:v>
                </c:pt>
                <c:pt idx="19">
                  <c:v>15.106095858538856</c:v>
                </c:pt>
                <c:pt idx="20">
                  <c:v>10.55576323987539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83-4253-88FF-EEE379AD7B06}"/>
            </c:ext>
          </c:extLst>
        </c:ser>
        <c:ser>
          <c:idx val="1"/>
          <c:order val="1"/>
          <c:tx>
            <c:strRef>
              <c:f>'Data Validation'!$D$24</c:f>
              <c:strCache>
                <c:ptCount val="1"/>
                <c:pt idx="0">
                  <c:v>ROE (Rentowność kapitału własnego)(%)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Validation'!$D$25:$D$45</c:f>
              <c:numCache>
                <c:formatCode>General</c:formatCode>
                <c:ptCount val="21"/>
                <c:pt idx="0">
                  <c:v>19.236441834839241</c:v>
                </c:pt>
                <c:pt idx="1">
                  <c:v>27.818026291883729</c:v>
                </c:pt>
                <c:pt idx="2">
                  <c:v>10.928887365828972</c:v>
                </c:pt>
                <c:pt idx="3">
                  <c:v>12.442359258071159</c:v>
                </c:pt>
                <c:pt idx="4">
                  <c:v>-14.184096404155797</c:v>
                </c:pt>
                <c:pt idx="5">
                  <c:v>6.8293603554971369</c:v>
                </c:pt>
                <c:pt idx="6">
                  <c:v>11.353218230975139</c:v>
                </c:pt>
                <c:pt idx="7">
                  <c:v>8.2131802556418858</c:v>
                </c:pt>
                <c:pt idx="8">
                  <c:v>8.1950778926860561</c:v>
                </c:pt>
                <c:pt idx="9">
                  <c:v>0.34684754123631878</c:v>
                </c:pt>
                <c:pt idx="10">
                  <c:v>-31.047893026477013</c:v>
                </c:pt>
                <c:pt idx="11">
                  <c:v>14.580796464168133</c:v>
                </c:pt>
                <c:pt idx="12">
                  <c:v>21.446719473920194</c:v>
                </c:pt>
                <c:pt idx="13">
                  <c:v>22.27847314967233</c:v>
                </c:pt>
                <c:pt idx="14">
                  <c:v>15.465566593702643</c:v>
                </c:pt>
                <c:pt idx="15">
                  <c:v>11.135869001969116</c:v>
                </c:pt>
                <c:pt idx="16">
                  <c:v>6.7915184152322343</c:v>
                </c:pt>
                <c:pt idx="17">
                  <c:v>21.637302492892648</c:v>
                </c:pt>
                <c:pt idx="18">
                  <c:v>24.737399593962397</c:v>
                </c:pt>
                <c:pt idx="19">
                  <c:v>13.628831814415907</c:v>
                </c:pt>
                <c:pt idx="20">
                  <c:v>5.2248807599826561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83-4253-88FF-EEE379AD7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076976"/>
        <c:axId val="1883075536"/>
      </c:lineChart>
      <c:catAx>
        <c:axId val="188307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075536"/>
        <c:crosses val="autoZero"/>
        <c:auto val="1"/>
        <c:lblAlgn val="ctr"/>
        <c:lblOffset val="100"/>
        <c:noMultiLvlLbl val="0"/>
      </c:catAx>
      <c:valAx>
        <c:axId val="1883075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0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314325</xdr:colOff>
      <xdr:row>19</xdr:row>
      <xdr:rowOff>9525</xdr:rowOff>
    </xdr:from>
    <xdr:to>
      <xdr:col>5</xdr:col>
      <xdr:colOff>47625</xdr:colOff>
      <xdr:row>24</xdr:row>
      <xdr:rowOff>133350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FD107865-8AE1-4928-A85A-D7A2214B37FF}"/>
            </a:ext>
          </a:extLst>
        </xdr:cNvPr>
        <xdr:cNvSpPr/>
      </xdr:nvSpPr>
      <xdr:spPr>
        <a:xfrm>
          <a:off x="314325" y="3829050"/>
          <a:ext cx="3762375" cy="10763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oneCell">
    <xdr:from>
      <xdr:col>0</xdr:col>
      <xdr:colOff>321365</xdr:colOff>
      <xdr:row>12</xdr:row>
      <xdr:rowOff>1656</xdr:rowOff>
    </xdr:from>
    <xdr:to>
      <xdr:col>5</xdr:col>
      <xdr:colOff>54665</xdr:colOff>
      <xdr:row>17</xdr:row>
      <xdr:rowOff>125481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267DF00-8FCB-4A78-93EB-BE40B2C0D520}"/>
            </a:ext>
          </a:extLst>
        </xdr:cNvPr>
        <xdr:cNvSpPr/>
      </xdr:nvSpPr>
      <xdr:spPr>
        <a:xfrm>
          <a:off x="321365" y="2519569"/>
          <a:ext cx="3775213" cy="10763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absolute">
    <xdr:from>
      <xdr:col>0</xdr:col>
      <xdr:colOff>301870</xdr:colOff>
      <xdr:row>5</xdr:row>
      <xdr:rowOff>35901</xdr:rowOff>
    </xdr:from>
    <xdr:to>
      <xdr:col>5</xdr:col>
      <xdr:colOff>35170</xdr:colOff>
      <xdr:row>10</xdr:row>
      <xdr:rowOff>159726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8E4AD01-6A4B-7146-C56C-852CD3FB2023}"/>
            </a:ext>
          </a:extLst>
        </xdr:cNvPr>
        <xdr:cNvSpPr/>
      </xdr:nvSpPr>
      <xdr:spPr>
        <a:xfrm>
          <a:off x="301870" y="1194288"/>
          <a:ext cx="3755781" cy="1076325"/>
        </a:xfrm>
        <a:prstGeom prst="rect">
          <a:avLst/>
        </a:prstGeom>
        <a:effectLst>
          <a:reflection stA="95000" endPos="2000" dist="50800" dir="5400000" sy="-100000" algn="bl" rotWithShape="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absolute">
    <xdr:from>
      <xdr:col>0</xdr:col>
      <xdr:colOff>318053</xdr:colOff>
      <xdr:row>7</xdr:row>
      <xdr:rowOff>137492</xdr:rowOff>
    </xdr:from>
    <xdr:to>
      <xdr:col>2</xdr:col>
      <xdr:colOff>651428</xdr:colOff>
      <xdr:row>10</xdr:row>
      <xdr:rowOff>137491</xdr:rowOff>
    </xdr:to>
    <xdr:sp macro="" textlink="zysk_netto">
      <xdr:nvSpPr>
        <xdr:cNvPr id="3" name="TextBox 2">
          <a:extLst>
            <a:ext uri="{FF2B5EF4-FFF2-40B4-BE49-F238E27FC236}">
              <a16:creationId xmlns:a16="http://schemas.microsoft.com/office/drawing/2014/main" id="{0D905443-AC0C-2F8C-7C7D-0550081F1B85}"/>
            </a:ext>
          </a:extLst>
        </xdr:cNvPr>
        <xdr:cNvSpPr txBox="1"/>
      </xdr:nvSpPr>
      <xdr:spPr>
        <a:xfrm>
          <a:off x="318053" y="1671017"/>
          <a:ext cx="1552575" cy="5714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4707BD-070A-42BB-8A0A-623D1EE09ABF}" type="TxLink">
            <a:rPr lang="en-US" sz="1400" b="1" i="0" u="none" strike="noStrike">
              <a:solidFill>
                <a:srgbClr val="002060"/>
              </a:solidFill>
              <a:latin typeface="Aptos Narrow"/>
            </a:rPr>
            <a:pPr algn="ctr"/>
            <a:t>33.63</a:t>
          </a:fld>
          <a:endParaRPr lang="en-GB" sz="1400" b="1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0</xdr:col>
      <xdr:colOff>438151</xdr:colOff>
      <xdr:row>5</xdr:row>
      <xdr:rowOff>68873</xdr:rowOff>
    </xdr:from>
    <xdr:to>
      <xdr:col>2</xdr:col>
      <xdr:colOff>638175</xdr:colOff>
      <xdr:row>8</xdr:row>
      <xdr:rowOff>28574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ABB0197-1882-E64E-927E-5B9891867D4D}"/>
            </a:ext>
          </a:extLst>
        </xdr:cNvPr>
        <xdr:cNvSpPr txBox="1"/>
      </xdr:nvSpPr>
      <xdr:spPr>
        <a:xfrm>
          <a:off x="438151" y="1221398"/>
          <a:ext cx="1419224" cy="5312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Zysk/Strata</a:t>
          </a:r>
          <a:r>
            <a:rPr lang="en-GB" sz="1200" b="1" baseline="0"/>
            <a:t> Netto(MLD ZŁ)</a:t>
          </a:r>
        </a:p>
      </xdr:txBody>
    </xdr:sp>
    <xdr:clientData/>
  </xdr:twoCellAnchor>
  <xdr:twoCellAnchor editAs="absolute">
    <xdr:from>
      <xdr:col>0</xdr:col>
      <xdr:colOff>523875</xdr:colOff>
      <xdr:row>12</xdr:row>
      <xdr:rowOff>47211</xdr:rowOff>
    </xdr:from>
    <xdr:to>
      <xdr:col>2</xdr:col>
      <xdr:colOff>447675</xdr:colOff>
      <xdr:row>15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CB9E33E-C480-3395-F664-6A7A4484943E}"/>
            </a:ext>
          </a:extLst>
        </xdr:cNvPr>
        <xdr:cNvSpPr txBox="1"/>
      </xdr:nvSpPr>
      <xdr:spPr>
        <a:xfrm>
          <a:off x="523875" y="2533236"/>
          <a:ext cx="1143000" cy="61001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Aktywa</a:t>
          </a:r>
          <a:r>
            <a:rPr lang="en-GB" sz="1200" b="1" baseline="0"/>
            <a:t> razem(MLD ZŁ)</a:t>
          </a:r>
          <a:endParaRPr lang="en-GB" sz="1200" b="1"/>
        </a:p>
      </xdr:txBody>
    </xdr:sp>
    <xdr:clientData/>
  </xdr:twoCellAnchor>
  <xdr:twoCellAnchor editAs="absolute">
    <xdr:from>
      <xdr:col>0</xdr:col>
      <xdr:colOff>466726</xdr:colOff>
      <xdr:row>15</xdr:row>
      <xdr:rowOff>9525</xdr:rowOff>
    </xdr:from>
    <xdr:to>
      <xdr:col>2</xdr:col>
      <xdr:colOff>485776</xdr:colOff>
      <xdr:row>17</xdr:row>
      <xdr:rowOff>95251</xdr:rowOff>
    </xdr:to>
    <xdr:sp macro="" textlink="aktywa_razem">
      <xdr:nvSpPr>
        <xdr:cNvPr id="8" name="Rectangle 7">
          <a:extLst>
            <a:ext uri="{FF2B5EF4-FFF2-40B4-BE49-F238E27FC236}">
              <a16:creationId xmlns:a16="http://schemas.microsoft.com/office/drawing/2014/main" id="{1755C529-6956-48B2-8DBC-C903E5A940F7}"/>
            </a:ext>
          </a:extLst>
        </xdr:cNvPr>
        <xdr:cNvSpPr/>
      </xdr:nvSpPr>
      <xdr:spPr>
        <a:xfrm>
          <a:off x="466726" y="3067050"/>
          <a:ext cx="1238250" cy="466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7F97803-AD00-4E22-BA29-18C8E18A9124}" type="TxLink">
            <a:rPr lang="en-US" sz="1400" b="1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272.33</a:t>
          </a:fld>
          <a:endParaRPr lang="en-GB" sz="1400" b="1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523876</xdr:colOff>
      <xdr:row>22</xdr:row>
      <xdr:rowOff>66675</xdr:rowOff>
    </xdr:from>
    <xdr:to>
      <xdr:col>2</xdr:col>
      <xdr:colOff>304800</xdr:colOff>
      <xdr:row>24</xdr:row>
      <xdr:rowOff>76200</xdr:rowOff>
    </xdr:to>
    <xdr:sp macro="" textlink="pp_oper">
      <xdr:nvSpPr>
        <xdr:cNvPr id="9" name="Rectangle 8">
          <a:extLst>
            <a:ext uri="{FF2B5EF4-FFF2-40B4-BE49-F238E27FC236}">
              <a16:creationId xmlns:a16="http://schemas.microsoft.com/office/drawing/2014/main" id="{ED47BA15-51B7-40D2-A1B7-A1B6B4C68B28}"/>
            </a:ext>
          </a:extLst>
        </xdr:cNvPr>
        <xdr:cNvSpPr/>
      </xdr:nvSpPr>
      <xdr:spPr>
        <a:xfrm>
          <a:off x="523876" y="4457700"/>
          <a:ext cx="1000124" cy="390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BBF5DA3-4FC6-4940-B4ED-6A0F424DEFAA}" type="TxLink">
            <a:rPr lang="en-US" sz="1400" b="1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30.95</a:t>
          </a:fld>
          <a:endParaRPr lang="en-GB" sz="1400" b="1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342900</xdr:colOff>
      <xdr:row>19</xdr:row>
      <xdr:rowOff>28573</xdr:rowOff>
    </xdr:from>
    <xdr:to>
      <xdr:col>2</xdr:col>
      <xdr:colOff>619125</xdr:colOff>
      <xdr:row>22</xdr:row>
      <xdr:rowOff>133350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6232579-1F63-4B3A-BD36-ED5CEF1CF0AB}"/>
            </a:ext>
          </a:extLst>
        </xdr:cNvPr>
        <xdr:cNvSpPr txBox="1"/>
      </xdr:nvSpPr>
      <xdr:spPr>
        <a:xfrm>
          <a:off x="342900" y="3848098"/>
          <a:ext cx="1495425" cy="6762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Przepływy pieniężne z działalności operacyjnej(MLD</a:t>
          </a:r>
          <a:r>
            <a:rPr lang="en-GB" sz="1200" b="1" baseline="0"/>
            <a:t> ZŁ)</a:t>
          </a:r>
          <a:endParaRPr lang="en-GB" sz="1200" b="1"/>
        </a:p>
      </xdr:txBody>
    </xdr:sp>
    <xdr:clientData/>
  </xdr:twoCellAnchor>
  <xdr:twoCellAnchor editAs="absolute">
    <xdr:from>
      <xdr:col>3</xdr:col>
      <xdr:colOff>152400</xdr:colOff>
      <xdr:row>5</xdr:row>
      <xdr:rowOff>47625</xdr:rowOff>
    </xdr:from>
    <xdr:to>
      <xdr:col>5</xdr:col>
      <xdr:colOff>19051</xdr:colOff>
      <xdr:row>7</xdr:row>
      <xdr:rowOff>133350</xdr:rowOff>
    </xdr:to>
    <xdr:sp macro="" textlink="procentz">
      <xdr:nvSpPr>
        <xdr:cNvPr id="13" name="%change_z">
          <a:extLst>
            <a:ext uri="{FF2B5EF4-FFF2-40B4-BE49-F238E27FC236}">
              <a16:creationId xmlns:a16="http://schemas.microsoft.com/office/drawing/2014/main" id="{3C8A9837-C60D-EC3D-BD72-4EBD5531E098}"/>
            </a:ext>
          </a:extLst>
        </xdr:cNvPr>
        <xdr:cNvSpPr txBox="1"/>
      </xdr:nvSpPr>
      <xdr:spPr>
        <a:xfrm>
          <a:off x="2962275" y="1200150"/>
          <a:ext cx="1085851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546D8F-59B8-47EF-8260-6179A23B22ED}" type="TxLink">
            <a:rPr lang="en-US" sz="1600" b="1" i="0" u="none" strike="noStrike">
              <a:solidFill>
                <a:srgbClr val="32CD32"/>
              </a:solidFill>
              <a:latin typeface="Aptos Narrow"/>
            </a:rPr>
            <a:pPr algn="ctr"/>
            <a:t>201%</a:t>
          </a:fld>
          <a:endParaRPr lang="en-GB" sz="16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3</xdr:col>
      <xdr:colOff>133351</xdr:colOff>
      <xdr:row>12</xdr:row>
      <xdr:rowOff>80755</xdr:rowOff>
    </xdr:from>
    <xdr:to>
      <xdr:col>5</xdr:col>
      <xdr:colOff>5937</xdr:colOff>
      <xdr:row>14</xdr:row>
      <xdr:rowOff>71230</xdr:rowOff>
    </xdr:to>
    <xdr:sp macro="" textlink="procenta">
      <xdr:nvSpPr>
        <xdr:cNvPr id="15" name="%change_a">
          <a:extLst>
            <a:ext uri="{FF2B5EF4-FFF2-40B4-BE49-F238E27FC236}">
              <a16:creationId xmlns:a16="http://schemas.microsoft.com/office/drawing/2014/main" id="{2D74AF27-B269-4FD3-A0BA-4D312EDAF2C8}"/>
            </a:ext>
          </a:extLst>
        </xdr:cNvPr>
        <xdr:cNvSpPr txBox="1"/>
      </xdr:nvSpPr>
      <xdr:spPr>
        <a:xfrm>
          <a:off x="2943226" y="2566780"/>
          <a:ext cx="1085436" cy="37147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92F53D-D2E4-4B50-BA9D-CB246A60541E}" type="TxLink">
            <a:rPr lang="en-US" sz="1600" b="1" i="0" u="none" strike="noStrike">
              <a:solidFill>
                <a:srgbClr val="32CD32"/>
              </a:solidFill>
              <a:latin typeface="Aptos Narrow"/>
            </a:rPr>
            <a:pPr algn="ctr"/>
            <a:t>155%</a:t>
          </a:fld>
          <a:endParaRPr lang="en-GB" sz="16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3</xdr:col>
      <xdr:colOff>28575</xdr:colOff>
      <xdr:row>15</xdr:row>
      <xdr:rowOff>7883</xdr:rowOff>
    </xdr:from>
    <xdr:to>
      <xdr:col>5</xdr:col>
      <xdr:colOff>15437</xdr:colOff>
      <xdr:row>17</xdr:row>
      <xdr:rowOff>93608</xdr:rowOff>
    </xdr:to>
    <xdr:sp macro="" textlink="ocena_aktywów">
      <xdr:nvSpPr>
        <xdr:cNvPr id="16" name="ocena_odchylenia_a">
          <a:extLst>
            <a:ext uri="{FF2B5EF4-FFF2-40B4-BE49-F238E27FC236}">
              <a16:creationId xmlns:a16="http://schemas.microsoft.com/office/drawing/2014/main" id="{29B8B192-54D6-4153-9A1A-0D5F0C0E5429}"/>
            </a:ext>
          </a:extLst>
        </xdr:cNvPr>
        <xdr:cNvSpPr txBox="1"/>
      </xdr:nvSpPr>
      <xdr:spPr>
        <a:xfrm>
          <a:off x="2838450" y="3065408"/>
          <a:ext cx="1206062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8D030C-675C-42D7-AC3D-5E9CB5D9E3C5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Znaczna zmiana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3</xdr:col>
      <xdr:colOff>142875</xdr:colOff>
      <xdr:row>19</xdr:row>
      <xdr:rowOff>85725</xdr:rowOff>
    </xdr:from>
    <xdr:to>
      <xdr:col>4</xdr:col>
      <xdr:colOff>533400</xdr:colOff>
      <xdr:row>21</xdr:row>
      <xdr:rowOff>76200</xdr:rowOff>
    </xdr:to>
    <xdr:sp macro="" textlink="procentpp">
      <xdr:nvSpPr>
        <xdr:cNvPr id="17" name="%change_p">
          <a:extLst>
            <a:ext uri="{FF2B5EF4-FFF2-40B4-BE49-F238E27FC236}">
              <a16:creationId xmlns:a16="http://schemas.microsoft.com/office/drawing/2014/main" id="{E5E93638-72D9-4752-851A-7289B0B3FA01}"/>
            </a:ext>
          </a:extLst>
        </xdr:cNvPr>
        <xdr:cNvSpPr txBox="1"/>
      </xdr:nvSpPr>
      <xdr:spPr>
        <a:xfrm>
          <a:off x="2952750" y="3905250"/>
          <a:ext cx="1000125" cy="37147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1905F3-30D1-47E7-B2BC-EE19B7E1DFD5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 algn="ctr"/>
            <a:t>133%</a:t>
          </a:fld>
          <a:endParaRPr lang="en-GB" sz="16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2</xdr:col>
      <xdr:colOff>1562101</xdr:colOff>
      <xdr:row>21</xdr:row>
      <xdr:rowOff>180318</xdr:rowOff>
    </xdr:from>
    <xdr:to>
      <xdr:col>5</xdr:col>
      <xdr:colOff>16752</xdr:colOff>
      <xdr:row>24</xdr:row>
      <xdr:rowOff>76200</xdr:rowOff>
    </xdr:to>
    <xdr:sp macro="" textlink="ocena_przepływów">
      <xdr:nvSpPr>
        <xdr:cNvPr id="18" name="ocena_odchylenia_p">
          <a:extLst>
            <a:ext uri="{FF2B5EF4-FFF2-40B4-BE49-F238E27FC236}">
              <a16:creationId xmlns:a16="http://schemas.microsoft.com/office/drawing/2014/main" id="{6610B800-1DAC-42B5-B5F1-1C3CD57F415E}"/>
            </a:ext>
          </a:extLst>
        </xdr:cNvPr>
        <xdr:cNvSpPr txBox="1"/>
      </xdr:nvSpPr>
      <xdr:spPr>
        <a:xfrm>
          <a:off x="2781301" y="4380843"/>
          <a:ext cx="1264526" cy="467382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74431D-B0DE-4151-B950-A49A3C07328E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Znaczna zmiana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  <xdr:twoCellAnchor editAs="absolute">
    <xdr:from>
      <xdr:col>2</xdr:col>
      <xdr:colOff>712179</xdr:colOff>
      <xdr:row>8</xdr:row>
      <xdr:rowOff>38099</xdr:rowOff>
    </xdr:from>
    <xdr:to>
      <xdr:col>3</xdr:col>
      <xdr:colOff>114300</xdr:colOff>
      <xdr:row>10</xdr:row>
      <xdr:rowOff>106972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932E2DA-4B54-13AD-2749-147CC47F2C97}"/>
            </a:ext>
          </a:extLst>
        </xdr:cNvPr>
        <xdr:cNvSpPr txBox="1"/>
      </xdr:nvSpPr>
      <xdr:spPr>
        <a:xfrm>
          <a:off x="1931379" y="1762124"/>
          <a:ext cx="992796" cy="44987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Odchylenie</a:t>
          </a:r>
        </a:p>
      </xdr:txBody>
    </xdr:sp>
    <xdr:clientData/>
  </xdr:twoCellAnchor>
  <xdr:twoCellAnchor editAs="absolute">
    <xdr:from>
      <xdr:col>2</xdr:col>
      <xdr:colOff>687442</xdr:colOff>
      <xdr:row>15</xdr:row>
      <xdr:rowOff>128751</xdr:rowOff>
    </xdr:from>
    <xdr:to>
      <xdr:col>3</xdr:col>
      <xdr:colOff>68317</xdr:colOff>
      <xdr:row>17</xdr:row>
      <xdr:rowOff>14451</xdr:rowOff>
    </xdr:to>
    <xdr:sp macro="" textlink="">
      <xdr:nvSpPr>
        <xdr:cNvPr id="55" name="TextBox 10">
          <a:extLst>
            <a:ext uri="{FF2B5EF4-FFF2-40B4-BE49-F238E27FC236}">
              <a16:creationId xmlns:a16="http://schemas.microsoft.com/office/drawing/2014/main" id="{352BD37A-984A-4550-B2B1-F48FCDB893B3}"/>
            </a:ext>
            <a:ext uri="{147F2762-F138-4A5C-976F-8EAC2B608ADB}">
              <a16:predDERef xmlns:a16="http://schemas.microsoft.com/office/drawing/2014/main" pred="{5932E2DA-4B54-13AD-2749-147CC47F2C97}"/>
            </a:ext>
          </a:extLst>
        </xdr:cNvPr>
        <xdr:cNvSpPr txBox="1"/>
      </xdr:nvSpPr>
      <xdr:spPr>
        <a:xfrm>
          <a:off x="1906642" y="3186276"/>
          <a:ext cx="9715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Odchylenie</a:t>
          </a:r>
          <a:endParaRPr lang="en-US" sz="1200" b="1" i="0" u="none" strike="noStrike">
            <a:solidFill>
              <a:schemeClr val="dk1"/>
            </a:solidFill>
            <a:latin typeface="+mn-lt"/>
            <a:ea typeface="+mn-lt"/>
            <a:cs typeface="+mn-lt"/>
          </a:endParaRPr>
        </a:p>
        <a:p>
          <a:pPr marL="0" indent="0" algn="ctr"/>
          <a:endParaRPr lang="en-US" sz="1100">
            <a:solidFill>
              <a:schemeClr val="dk1"/>
            </a:solidFill>
            <a:latin typeface="+mn-lt"/>
            <a:ea typeface="+mn-lt"/>
            <a:cs typeface="+mn-lt"/>
          </a:endParaRPr>
        </a:p>
      </xdr:txBody>
    </xdr:sp>
    <xdr:clientData/>
  </xdr:twoCellAnchor>
  <xdr:twoCellAnchor editAs="absolute">
    <xdr:from>
      <xdr:col>2</xdr:col>
      <xdr:colOff>695325</xdr:colOff>
      <xdr:row>22</xdr:row>
      <xdr:rowOff>104775</xdr:rowOff>
    </xdr:from>
    <xdr:to>
      <xdr:col>3</xdr:col>
      <xdr:colOff>76200</xdr:colOff>
      <xdr:row>23</xdr:row>
      <xdr:rowOff>180975</xdr:rowOff>
    </xdr:to>
    <xdr:sp macro="" textlink="">
      <xdr:nvSpPr>
        <xdr:cNvPr id="62" name="TextBox 18">
          <a:extLst>
            <a:ext uri="{FF2B5EF4-FFF2-40B4-BE49-F238E27FC236}">
              <a16:creationId xmlns:a16="http://schemas.microsoft.com/office/drawing/2014/main" id="{9C299FFE-8203-469E-BD1A-D07A198A4047}"/>
            </a:ext>
            <a:ext uri="{147F2762-F138-4A5C-976F-8EAC2B608ADB}">
              <a16:predDERef xmlns:a16="http://schemas.microsoft.com/office/drawing/2014/main" pred="{352BD37A-984A-4550-B2B1-F48FCDB893B3}"/>
            </a:ext>
          </a:extLst>
        </xdr:cNvPr>
        <xdr:cNvSpPr txBox="1"/>
      </xdr:nvSpPr>
      <xdr:spPr>
        <a:xfrm>
          <a:off x="1914525" y="4495800"/>
          <a:ext cx="9715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Odchylenie</a:t>
          </a:r>
        </a:p>
      </xdr:txBody>
    </xdr:sp>
    <xdr:clientData/>
  </xdr:twoCellAnchor>
  <xdr:twoCellAnchor editAs="absolute">
    <xdr:from>
      <xdr:col>2</xdr:col>
      <xdr:colOff>611796</xdr:colOff>
      <xdr:row>5</xdr:row>
      <xdr:rowOff>62279</xdr:rowOff>
    </xdr:from>
    <xdr:to>
      <xdr:col>3</xdr:col>
      <xdr:colOff>249848</xdr:colOff>
      <xdr:row>7</xdr:row>
      <xdr:rowOff>176579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3F8A316-5981-D6E0-F8F7-F3F6F0F3F375}"/>
            </a:ext>
          </a:extLst>
        </xdr:cNvPr>
        <xdr:cNvSpPr txBox="1"/>
      </xdr:nvSpPr>
      <xdr:spPr>
        <a:xfrm>
          <a:off x="1830996" y="1214804"/>
          <a:ext cx="1228727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 b="1"/>
            <a:t>Zmiana </a:t>
          </a:r>
          <a:r>
            <a:rPr lang="en-GB" sz="1200" b="1">
              <a:ln>
                <a:noFill/>
              </a:ln>
              <a:solidFill>
                <a:schemeClr val="dk1"/>
              </a:solidFill>
              <a:latin typeface="+mn-lt"/>
              <a:ea typeface="+mn-ea"/>
              <a:cs typeface="+mn-cs"/>
            </a:rPr>
            <a:t>procentowa</a:t>
          </a:r>
          <a:r>
            <a:rPr lang="en-GB" sz="1200" b="1"/>
            <a:t> </a:t>
          </a:r>
        </a:p>
      </xdr:txBody>
    </xdr:sp>
    <xdr:clientData/>
  </xdr:twoCellAnchor>
  <xdr:twoCellAnchor editAs="absolute">
    <xdr:from>
      <xdr:col>2</xdr:col>
      <xdr:colOff>609540</xdr:colOff>
      <xdr:row>12</xdr:row>
      <xdr:rowOff>28575</xdr:rowOff>
    </xdr:from>
    <xdr:to>
      <xdr:col>3</xdr:col>
      <xdr:colOff>171393</xdr:colOff>
      <xdr:row>14</xdr:row>
      <xdr:rowOff>129610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BA9223EF-1BE1-FCB0-37E7-3E3A77D9CD9C}"/>
            </a:ext>
          </a:extLst>
        </xdr:cNvPr>
        <xdr:cNvSpPr txBox="1"/>
      </xdr:nvSpPr>
      <xdr:spPr>
        <a:xfrm>
          <a:off x="1828740" y="2514600"/>
          <a:ext cx="1152528" cy="48203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Zmiana</a:t>
          </a:r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procentowa </a:t>
          </a:r>
          <a:endParaRPr lang="en-GB" sz="1200" b="1">
            <a:effectLst/>
          </a:endParaRPr>
        </a:p>
        <a:p>
          <a:endParaRPr lang="en-GB" sz="1100"/>
        </a:p>
      </xdr:txBody>
    </xdr:sp>
    <xdr:clientData/>
  </xdr:twoCellAnchor>
  <xdr:twoCellAnchor editAs="absolute">
    <xdr:from>
      <xdr:col>2</xdr:col>
      <xdr:colOff>666750</xdr:colOff>
      <xdr:row>19</xdr:row>
      <xdr:rowOff>33016</xdr:rowOff>
    </xdr:from>
    <xdr:to>
      <xdr:col>3</xdr:col>
      <xdr:colOff>57150</xdr:colOff>
      <xdr:row>21</xdr:row>
      <xdr:rowOff>142875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65B3E3F-3D81-5527-C017-08890680A3A0}"/>
            </a:ext>
          </a:extLst>
        </xdr:cNvPr>
        <xdr:cNvSpPr txBox="1"/>
      </xdr:nvSpPr>
      <xdr:spPr>
        <a:xfrm>
          <a:off x="1885950" y="3852541"/>
          <a:ext cx="981075" cy="4908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Zmiana procentowa </a:t>
          </a:r>
          <a:endParaRPr lang="en-GB" sz="1200" b="1">
            <a:effectLst/>
          </a:endParaRPr>
        </a:p>
        <a:p>
          <a:endParaRPr lang="en-GB" sz="1100"/>
        </a:p>
      </xdr:txBody>
    </xdr:sp>
    <xdr:clientData/>
  </xdr:twoCellAnchor>
  <xdr:twoCellAnchor editAs="absolute">
    <xdr:from>
      <xdr:col>2</xdr:col>
      <xdr:colOff>772194</xdr:colOff>
      <xdr:row>5</xdr:row>
      <xdr:rowOff>38428</xdr:rowOff>
    </xdr:from>
    <xdr:to>
      <xdr:col>2</xdr:col>
      <xdr:colOff>793328</xdr:colOff>
      <xdr:row>10</xdr:row>
      <xdr:rowOff>148673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A042F884-CEB8-EEFF-2AF5-4E5C14340281}"/>
            </a:ext>
          </a:extLst>
        </xdr:cNvPr>
        <xdr:cNvCxnSpPr/>
      </xdr:nvCxnSpPr>
      <xdr:spPr>
        <a:xfrm flipH="1">
          <a:off x="1988463" y="1196815"/>
          <a:ext cx="21134" cy="106274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772864</xdr:colOff>
      <xdr:row>8</xdr:row>
      <xdr:rowOff>2564</xdr:rowOff>
    </xdr:from>
    <xdr:to>
      <xdr:col>5</xdr:col>
      <xdr:colOff>35170</xdr:colOff>
      <xdr:row>8</xdr:row>
      <xdr:rowOff>6341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3A80A3C9-469F-28DC-9727-E139800CD8D9}"/>
            </a:ext>
          </a:extLst>
        </xdr:cNvPr>
        <xdr:cNvCxnSpPr>
          <a:endCxn id="2" idx="3"/>
        </xdr:cNvCxnSpPr>
      </xdr:nvCxnSpPr>
      <xdr:spPr>
        <a:xfrm flipV="1">
          <a:off x="1989133" y="1732451"/>
          <a:ext cx="2068518" cy="3777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723900</xdr:colOff>
      <xdr:row>12</xdr:row>
      <xdr:rowOff>0</xdr:rowOff>
    </xdr:from>
    <xdr:to>
      <xdr:col>2</xdr:col>
      <xdr:colOff>740019</xdr:colOff>
      <xdr:row>17</xdr:row>
      <xdr:rowOff>133350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543E130E-6F58-43D6-A7D2-49E3BCCCEF1E}"/>
            </a:ext>
          </a:extLst>
        </xdr:cNvPr>
        <xdr:cNvCxnSpPr/>
      </xdr:nvCxnSpPr>
      <xdr:spPr>
        <a:xfrm flipH="1">
          <a:off x="1940169" y="2483827"/>
          <a:ext cx="16119" cy="10858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735724</xdr:colOff>
      <xdr:row>14</xdr:row>
      <xdr:rowOff>166852</xdr:rowOff>
    </xdr:from>
    <xdr:to>
      <xdr:col>5</xdr:col>
      <xdr:colOff>44669</xdr:colOff>
      <xdr:row>14</xdr:row>
      <xdr:rowOff>177362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E915B4C3-BF68-4642-949C-16E41599DAF6}"/>
            </a:ext>
          </a:extLst>
        </xdr:cNvPr>
        <xdr:cNvCxnSpPr/>
      </xdr:nvCxnSpPr>
      <xdr:spPr>
        <a:xfrm flipV="1">
          <a:off x="1957552" y="3030921"/>
          <a:ext cx="2120462" cy="105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713014</xdr:colOff>
      <xdr:row>21</xdr:row>
      <xdr:rowOff>148318</xdr:rowOff>
    </xdr:from>
    <xdr:to>
      <xdr:col>5</xdr:col>
      <xdr:colOff>50581</xdr:colOff>
      <xdr:row>21</xdr:row>
      <xdr:rowOff>150758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EEDD0254-F568-47F6-9BD8-4730265A5C9E}"/>
            </a:ext>
          </a:extLst>
        </xdr:cNvPr>
        <xdr:cNvCxnSpPr/>
      </xdr:nvCxnSpPr>
      <xdr:spPr>
        <a:xfrm>
          <a:off x="1932214" y="4348843"/>
          <a:ext cx="2146081" cy="244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700768</xdr:colOff>
      <xdr:row>19</xdr:row>
      <xdr:rowOff>19050</xdr:rowOff>
    </xdr:from>
    <xdr:to>
      <xdr:col>2</xdr:col>
      <xdr:colOff>719818</xdr:colOff>
      <xdr:row>24</xdr:row>
      <xdr:rowOff>142875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8D8515BD-1CA0-4513-AACD-6E3B7B23D890}"/>
            </a:ext>
          </a:extLst>
        </xdr:cNvPr>
        <xdr:cNvCxnSpPr/>
      </xdr:nvCxnSpPr>
      <xdr:spPr>
        <a:xfrm flipH="1">
          <a:off x="1919968" y="3838575"/>
          <a:ext cx="19050" cy="10763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1038225</xdr:colOff>
      <xdr:row>24</xdr:row>
      <xdr:rowOff>142874</xdr:rowOff>
    </xdr:from>
    <xdr:to>
      <xdr:col>9</xdr:col>
      <xdr:colOff>495300</xdr:colOff>
      <xdr:row>37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C94D45-B99D-49D1-94D9-D5D783AAC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704851</xdr:colOff>
      <xdr:row>24</xdr:row>
      <xdr:rowOff>171450</xdr:rowOff>
    </xdr:from>
    <xdr:to>
      <xdr:col>11</xdr:col>
      <xdr:colOff>133350</xdr:colOff>
      <xdr:row>37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55AE3F5-52A2-4991-9981-55BFCFB2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25</xdr:row>
      <xdr:rowOff>38100</xdr:rowOff>
    </xdr:from>
    <xdr:to>
      <xdr:col>7</xdr:col>
      <xdr:colOff>876299</xdr:colOff>
      <xdr:row>38</xdr:row>
      <xdr:rowOff>76200</xdr:rowOff>
    </xdr:to>
    <xdr:graphicFrame macro="">
      <xdr:nvGraphicFramePr>
        <xdr:cNvPr id="60" name="Chart 22">
          <a:extLst>
            <a:ext uri="{FF2B5EF4-FFF2-40B4-BE49-F238E27FC236}">
              <a16:creationId xmlns:a16="http://schemas.microsoft.com/office/drawing/2014/main" id="{E676660B-AF72-41A9-BC03-B80C73901ABC}"/>
            </a:ext>
            <a:ext uri="{147F2762-F138-4A5C-976F-8EAC2B608ADB}">
              <a16:predDERef xmlns:a16="http://schemas.microsoft.com/office/drawing/2014/main" pred="{F55AE3F5-52A2-4991-9981-55BFCFB2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266699</xdr:colOff>
      <xdr:row>4</xdr:row>
      <xdr:rowOff>85726</xdr:rowOff>
    </xdr:from>
    <xdr:to>
      <xdr:col>8</xdr:col>
      <xdr:colOff>466724</xdr:colOff>
      <xdr:row>25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28580736-DFF6-4996-8428-7E455DE35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</xdr:col>
      <xdr:colOff>123825</xdr:colOff>
      <xdr:row>4</xdr:row>
      <xdr:rowOff>19049</xdr:rowOff>
    </xdr:from>
    <xdr:to>
      <xdr:col>10</xdr:col>
      <xdr:colOff>3429000</xdr:colOff>
      <xdr:row>25</xdr:row>
      <xdr:rowOff>19050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324756DD-803F-46BB-9938-435D1142C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</xdr:row>
      <xdr:rowOff>190500</xdr:rowOff>
    </xdr:from>
    <xdr:to>
      <xdr:col>9</xdr:col>
      <xdr:colOff>28575</xdr:colOff>
      <xdr:row>25</xdr:row>
      <xdr:rowOff>76200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F20D1109-EA30-8548-9AE2-69F7464E3880}"/>
            </a:ext>
          </a:extLst>
        </xdr:cNvPr>
        <xdr:cNvCxnSpPr/>
      </xdr:nvCxnSpPr>
      <xdr:spPr>
        <a:xfrm>
          <a:off x="10706100" y="381000"/>
          <a:ext cx="28575" cy="46577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25</xdr:row>
      <xdr:rowOff>66675</xdr:rowOff>
    </xdr:from>
    <xdr:to>
      <xdr:col>16</xdr:col>
      <xdr:colOff>9525</xdr:colOff>
      <xdr:row>25</xdr:row>
      <xdr:rowOff>76200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2258EFDA-E90C-8305-8F18-ACD51D0ECB93}"/>
            </a:ext>
          </a:extLst>
        </xdr:cNvPr>
        <xdr:cNvCxnSpPr/>
      </xdr:nvCxnSpPr>
      <xdr:spPr>
        <a:xfrm flipV="1">
          <a:off x="19050" y="5029200"/>
          <a:ext cx="2074545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9526</xdr:colOff>
      <xdr:row>8</xdr:row>
      <xdr:rowOff>38100</xdr:rowOff>
    </xdr:from>
    <xdr:to>
      <xdr:col>5</xdr:col>
      <xdr:colOff>0</xdr:colOff>
      <xdr:row>10</xdr:row>
      <xdr:rowOff>123826</xdr:rowOff>
    </xdr:to>
    <xdr:sp macro="" textlink="ocena_zysku">
      <xdr:nvSpPr>
        <xdr:cNvPr id="14" name="ocena_odchylenia_z">
          <a:extLst>
            <a:ext uri="{FF2B5EF4-FFF2-40B4-BE49-F238E27FC236}">
              <a16:creationId xmlns:a16="http://schemas.microsoft.com/office/drawing/2014/main" id="{E97D10FC-45D4-47B4-823E-C84F11E74EA0}"/>
            </a:ext>
          </a:extLst>
        </xdr:cNvPr>
        <xdr:cNvSpPr txBox="1"/>
      </xdr:nvSpPr>
      <xdr:spPr>
        <a:xfrm>
          <a:off x="2819401" y="1762125"/>
          <a:ext cx="1209674" cy="466726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996C9D-CF67-45E2-AB23-881E45BE95EE}" type="TxLink">
            <a:rPr lang="en-US" sz="1200" b="1" i="0" u="none" strike="noStrike">
              <a:solidFill>
                <a:srgbClr val="32CD32"/>
              </a:solidFill>
              <a:latin typeface="Aptos Narrow"/>
            </a:rPr>
            <a:pPr algn="ctr"/>
            <a:t>Znaczna zmiana</a:t>
          </a:fld>
          <a:endParaRPr lang="en-GB" sz="1200" b="1">
            <a:solidFill>
              <a:srgbClr val="32CD32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542925</xdr:colOff>
      <xdr:row>59</xdr:row>
      <xdr:rowOff>0</xdr:rowOff>
    </xdr:from>
    <xdr:to>
      <xdr:col>33</xdr:col>
      <xdr:colOff>542923</xdr:colOff>
      <xdr:row>78</xdr:row>
      <xdr:rowOff>95251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2DFDD0-9188-4F53-AE7F-0C5767EAE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8094C2DE6520367A/Documents/excel%20full%20orlen.xlsm" TargetMode="External"/><Relationship Id="rId1" Type="http://schemas.openxmlformats.org/officeDocument/2006/relationships/externalLinkPath" Target="file:///C:\Users\jozef\OneDrive\Documents\excel%20full%20orle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zef\OneDrive\Documents\kopie%20waznych%20rzeczy.xlsx" TargetMode="External"/><Relationship Id="rId1" Type="http://schemas.openxmlformats.org/officeDocument/2006/relationships/externalLinkPath" Target="file:///C:\Users\jozef\OneDrive\Documents\kopie%20waznych%20rzeczy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8094C2DE6520367A/Documents/kopie%20waznych%20rzeczy.xlsx" TargetMode="External"/><Relationship Id="rId1" Type="http://schemas.openxmlformats.org/officeDocument/2006/relationships/externalLinkPath" Target="kopie%20waznych%20rzeczy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zef\Documents\EXCEL\Projekt.xlsx" TargetMode="External"/><Relationship Id="rId1" Type="http://schemas.openxmlformats.org/officeDocument/2006/relationships/externalLinkPath" Target="file:///C:\Users\jozef\Documents\EXCEL\Projek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len dashboard"/>
      <sheetName val="Data Validation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kaźniki roczne"/>
      <sheetName val="BR Rpp_Orlen"/>
      <sheetName val="BR Bilans"/>
      <sheetName val="BR RZiS"/>
      <sheetName val="BR Bilans Q S"/>
      <sheetName val="BR RZiS Q -S"/>
      <sheetName val="Testowy"/>
      <sheetName val="Data Validation #2"/>
      <sheetName val="Dane Makro"/>
      <sheetName val="BR RPP Q S"/>
      <sheetName val="Wskaźniki kwartalne"/>
    </sheetNames>
    <sheetDataSet>
      <sheetData sheetId="0"/>
      <sheetData sheetId="1">
        <row r="2">
          <cell r="C2">
            <v>1350392</v>
          </cell>
        </row>
        <row r="3">
          <cell r="C3">
            <v>1779944</v>
          </cell>
        </row>
        <row r="4">
          <cell r="C4">
            <v>2108127</v>
          </cell>
        </row>
        <row r="5">
          <cell r="C5">
            <v>2431423</v>
          </cell>
        </row>
        <row r="6">
          <cell r="C6">
            <v>2491383</v>
          </cell>
        </row>
        <row r="7">
          <cell r="C7">
            <v>2567646</v>
          </cell>
        </row>
        <row r="8">
          <cell r="C8">
            <v>2422747</v>
          </cell>
        </row>
        <row r="9">
          <cell r="C9">
            <v>2379948</v>
          </cell>
        </row>
        <row r="10">
          <cell r="C10">
            <v>2260122</v>
          </cell>
        </row>
        <row r="11">
          <cell r="C11">
            <v>2170000</v>
          </cell>
        </row>
        <row r="12">
          <cell r="C12">
            <v>1991000</v>
          </cell>
        </row>
        <row r="13">
          <cell r="C13">
            <v>1895000</v>
          </cell>
        </row>
        <row r="14">
          <cell r="C14">
            <v>2110000</v>
          </cell>
        </row>
        <row r="15">
          <cell r="C15">
            <v>2421000</v>
          </cell>
        </row>
        <row r="16">
          <cell r="C16">
            <v>2673000</v>
          </cell>
        </row>
        <row r="17">
          <cell r="C17">
            <v>3506000</v>
          </cell>
        </row>
        <row r="18">
          <cell r="C18">
            <v>4537000</v>
          </cell>
        </row>
        <row r="19">
          <cell r="C19">
            <v>5341000</v>
          </cell>
        </row>
        <row r="20">
          <cell r="C20">
            <v>6946000</v>
          </cell>
        </row>
        <row r="21">
          <cell r="C21">
            <v>14200000</v>
          </cell>
        </row>
        <row r="22">
          <cell r="C22">
            <v>13936000</v>
          </cell>
        </row>
      </sheetData>
      <sheetData sheetId="2">
        <row r="2">
          <cell r="J2">
            <v>7921660</v>
          </cell>
          <cell r="K2">
            <v>3200982</v>
          </cell>
          <cell r="L2">
            <v>2604092</v>
          </cell>
          <cell r="N2">
            <v>729498</v>
          </cell>
          <cell r="Q2">
            <v>20869475</v>
          </cell>
          <cell r="R2">
            <v>13191608</v>
          </cell>
          <cell r="V2">
            <v>439706</v>
          </cell>
          <cell r="W2">
            <v>3237711</v>
          </cell>
          <cell r="AC2">
            <v>4000450</v>
          </cell>
          <cell r="AI2">
            <v>0</v>
          </cell>
        </row>
        <row r="3">
          <cell r="J3">
            <v>12518779</v>
          </cell>
          <cell r="K3">
            <v>6113237</v>
          </cell>
          <cell r="L3">
            <v>4827205</v>
          </cell>
          <cell r="N3">
            <v>1126803</v>
          </cell>
          <cell r="Q3">
            <v>33404311</v>
          </cell>
          <cell r="R3">
            <v>16671837</v>
          </cell>
          <cell r="V3">
            <v>2641152</v>
          </cell>
          <cell r="W3">
            <v>5553853</v>
          </cell>
          <cell r="AC3">
            <v>8537469</v>
          </cell>
          <cell r="AI3">
            <v>0</v>
          </cell>
        </row>
        <row r="4">
          <cell r="J4">
            <v>17758286</v>
          </cell>
          <cell r="K4">
            <v>7398856</v>
          </cell>
          <cell r="L4">
            <v>6546713</v>
          </cell>
          <cell r="N4">
            <v>2351320</v>
          </cell>
          <cell r="Q4">
            <v>45419084</v>
          </cell>
          <cell r="R4">
            <v>18850940</v>
          </cell>
          <cell r="V4">
            <v>2731623</v>
          </cell>
          <cell r="W4">
            <v>8958143</v>
          </cell>
          <cell r="AC4">
            <v>14878378</v>
          </cell>
          <cell r="AI4">
            <v>0</v>
          </cell>
        </row>
        <row r="5">
          <cell r="J5">
            <v>19366488</v>
          </cell>
          <cell r="K5">
            <v>10365409</v>
          </cell>
          <cell r="L5">
            <v>6999836</v>
          </cell>
          <cell r="N5">
            <v>1498232</v>
          </cell>
          <cell r="Q5">
            <v>46102825</v>
          </cell>
          <cell r="R5">
            <v>19935335</v>
          </cell>
          <cell r="V5">
            <v>2637425</v>
          </cell>
          <cell r="W5">
            <v>11091402</v>
          </cell>
          <cell r="AC5">
            <v>12438663</v>
          </cell>
          <cell r="AI5">
            <v>0</v>
          </cell>
        </row>
        <row r="6">
          <cell r="J6">
            <v>17694894</v>
          </cell>
          <cell r="K6">
            <v>9089047</v>
          </cell>
          <cell r="L6">
            <v>6748216</v>
          </cell>
          <cell r="N6">
            <v>1344224</v>
          </cell>
          <cell r="Q6">
            <v>46975750</v>
          </cell>
          <cell r="R6">
            <v>17813091</v>
          </cell>
          <cell r="V6">
            <v>2718556</v>
          </cell>
          <cell r="W6">
            <v>4634178</v>
          </cell>
          <cell r="AC6">
            <v>21809925</v>
          </cell>
          <cell r="AI6">
            <v>0</v>
          </cell>
        </row>
        <row r="7">
          <cell r="J7">
            <v>19433046</v>
          </cell>
          <cell r="K7">
            <v>10619859</v>
          </cell>
          <cell r="L7">
            <v>5451518</v>
          </cell>
          <cell r="N7">
            <v>2941039</v>
          </cell>
          <cell r="Q7">
            <v>49088070</v>
          </cell>
          <cell r="R7">
            <v>19037903</v>
          </cell>
          <cell r="V7">
            <v>2669308</v>
          </cell>
          <cell r="W7">
            <v>13223343</v>
          </cell>
          <cell r="AC7">
            <v>14157516</v>
          </cell>
          <cell r="AI7">
            <v>0</v>
          </cell>
        </row>
        <row r="8">
          <cell r="J8">
            <v>20718918</v>
          </cell>
          <cell r="K8">
            <v>11294851</v>
          </cell>
          <cell r="L8">
            <v>6337075</v>
          </cell>
          <cell r="N8">
            <v>2820742</v>
          </cell>
          <cell r="Q8">
            <v>51149792</v>
          </cell>
          <cell r="R8">
            <v>21627938</v>
          </cell>
          <cell r="V8">
            <v>2612015</v>
          </cell>
          <cell r="W8">
            <v>10667861</v>
          </cell>
          <cell r="AC8">
            <v>16241978</v>
          </cell>
          <cell r="AI8">
            <v>0</v>
          </cell>
        </row>
        <row r="9">
          <cell r="J9">
            <v>30132337</v>
          </cell>
          <cell r="K9">
            <v>16296517</v>
          </cell>
          <cell r="L9">
            <v>8104695</v>
          </cell>
          <cell r="N9">
            <v>5409166</v>
          </cell>
          <cell r="Q9">
            <v>58731478</v>
          </cell>
          <cell r="R9">
            <v>24533773</v>
          </cell>
          <cell r="V9">
            <v>2264910</v>
          </cell>
          <cell r="W9">
            <v>12120002</v>
          </cell>
          <cell r="AC9">
            <v>19812793</v>
          </cell>
          <cell r="AI9">
            <v>0</v>
          </cell>
        </row>
        <row r="10">
          <cell r="J10">
            <v>25820143</v>
          </cell>
          <cell r="K10">
            <v>15011047</v>
          </cell>
          <cell r="L10">
            <v>8164927</v>
          </cell>
          <cell r="N10">
            <v>2211425</v>
          </cell>
          <cell r="Q10">
            <v>52630780</v>
          </cell>
          <cell r="R10">
            <v>26479187</v>
          </cell>
          <cell r="V10">
            <v>1827646</v>
          </cell>
          <cell r="W10">
            <v>9196658</v>
          </cell>
          <cell r="AC10">
            <v>15127289</v>
          </cell>
          <cell r="AI10">
            <v>0</v>
          </cell>
        </row>
        <row r="11">
          <cell r="J11">
            <v>24445000</v>
          </cell>
          <cell r="K11">
            <v>13749000</v>
          </cell>
          <cell r="L11">
            <v>7827000</v>
          </cell>
          <cell r="N11">
            <v>2893000</v>
          </cell>
          <cell r="Q11">
            <v>51352000</v>
          </cell>
          <cell r="R11">
            <v>25948000</v>
          </cell>
          <cell r="V11">
            <v>1603000</v>
          </cell>
          <cell r="W11">
            <v>7846000</v>
          </cell>
          <cell r="AC11">
            <v>15955000</v>
          </cell>
          <cell r="AI11">
            <v>0</v>
          </cell>
        </row>
        <row r="12">
          <cell r="J12">
            <v>21754000</v>
          </cell>
          <cell r="K12">
            <v>9829000</v>
          </cell>
          <cell r="L12">
            <v>7092000</v>
          </cell>
          <cell r="N12">
            <v>3937000</v>
          </cell>
          <cell r="Q12">
            <v>46725000</v>
          </cell>
          <cell r="R12">
            <v>18771000</v>
          </cell>
          <cell r="V12">
            <v>1615000</v>
          </cell>
          <cell r="W12">
            <v>12305000</v>
          </cell>
          <cell r="AC12">
            <v>14034000</v>
          </cell>
          <cell r="AI12">
            <v>0</v>
          </cell>
        </row>
        <row r="13">
          <cell r="J13">
            <v>20775000</v>
          </cell>
          <cell r="K13">
            <v>10715000</v>
          </cell>
          <cell r="L13">
            <v>6641000</v>
          </cell>
          <cell r="N13">
            <v>2348000</v>
          </cell>
          <cell r="Q13">
            <v>48137000</v>
          </cell>
          <cell r="R13">
            <v>22173000</v>
          </cell>
          <cell r="V13">
            <v>2071000</v>
          </cell>
          <cell r="W13">
            <v>10227000</v>
          </cell>
          <cell r="AC13">
            <v>13666000</v>
          </cell>
          <cell r="AI13">
            <v>0</v>
          </cell>
        </row>
        <row r="14">
          <cell r="J14">
            <v>25238000</v>
          </cell>
          <cell r="K14">
            <v>11182000</v>
          </cell>
          <cell r="L14">
            <v>8674000</v>
          </cell>
          <cell r="N14">
            <v>5072000</v>
          </cell>
          <cell r="Q14">
            <v>55559000</v>
          </cell>
          <cell r="R14">
            <v>26764000</v>
          </cell>
          <cell r="V14">
            <v>2522000</v>
          </cell>
          <cell r="W14">
            <v>9652000</v>
          </cell>
          <cell r="AC14">
            <v>16621000</v>
          </cell>
          <cell r="AI14">
            <v>0</v>
          </cell>
        </row>
        <row r="15">
          <cell r="J15">
            <v>28924000</v>
          </cell>
          <cell r="K15">
            <v>12440000</v>
          </cell>
          <cell r="L15">
            <v>9598000</v>
          </cell>
          <cell r="N15">
            <v>6244000</v>
          </cell>
          <cell r="Q15">
            <v>60664000</v>
          </cell>
          <cell r="R15">
            <v>32197000</v>
          </cell>
          <cell r="V15">
            <v>3014000</v>
          </cell>
          <cell r="W15">
            <v>9071000</v>
          </cell>
          <cell r="AC15">
            <v>16382000</v>
          </cell>
          <cell r="AI15">
            <v>0</v>
          </cell>
        </row>
        <row r="16">
          <cell r="J16">
            <v>30164000</v>
          </cell>
          <cell r="K16">
            <v>14317000</v>
          </cell>
          <cell r="L16">
            <v>10593000</v>
          </cell>
          <cell r="N16">
            <v>4192000</v>
          </cell>
          <cell r="Q16">
            <v>64031000</v>
          </cell>
          <cell r="R16">
            <v>35634000</v>
          </cell>
          <cell r="V16">
            <v>12000</v>
          </cell>
          <cell r="W16">
            <v>11487000</v>
          </cell>
          <cell r="AC16">
            <v>16898000</v>
          </cell>
          <cell r="AI16">
            <v>0</v>
          </cell>
        </row>
        <row r="17">
          <cell r="J17">
            <v>31925000</v>
          </cell>
          <cell r="K17">
            <v>15074000</v>
          </cell>
          <cell r="L17">
            <v>9945000</v>
          </cell>
          <cell r="N17">
            <v>6159000</v>
          </cell>
          <cell r="Q17">
            <v>71202000</v>
          </cell>
          <cell r="R17">
            <v>38596000</v>
          </cell>
          <cell r="V17">
            <v>11000</v>
          </cell>
          <cell r="W17">
            <v>14315000</v>
          </cell>
          <cell r="AC17">
            <v>18280000</v>
          </cell>
          <cell r="AI17">
            <v>0</v>
          </cell>
        </row>
        <row r="18">
          <cell r="J18">
            <v>24615000</v>
          </cell>
          <cell r="K18">
            <v>12279000</v>
          </cell>
          <cell r="L18">
            <v>10089000</v>
          </cell>
          <cell r="N18">
            <v>1240000</v>
          </cell>
          <cell r="Q18">
            <v>83827000</v>
          </cell>
          <cell r="R18">
            <v>41596000</v>
          </cell>
          <cell r="V18">
            <v>783000</v>
          </cell>
          <cell r="W18">
            <v>18524000</v>
          </cell>
          <cell r="AC18">
            <v>22924000</v>
          </cell>
          <cell r="AI18">
            <v>0</v>
          </cell>
        </row>
        <row r="19">
          <cell r="J19">
            <v>38048000</v>
          </cell>
          <cell r="K19">
            <v>18410000</v>
          </cell>
          <cell r="L19">
            <v>15170000</v>
          </cell>
          <cell r="N19">
            <v>2896000</v>
          </cell>
          <cell r="Q19">
            <v>106754000</v>
          </cell>
          <cell r="R19">
            <v>51707000</v>
          </cell>
          <cell r="V19">
            <v>871000</v>
          </cell>
          <cell r="W19">
            <v>23883000</v>
          </cell>
          <cell r="AC19">
            <v>30293000</v>
          </cell>
          <cell r="AI19">
            <v>0</v>
          </cell>
        </row>
        <row r="20">
          <cell r="J20">
            <v>119210000</v>
          </cell>
          <cell r="K20">
            <v>44779000</v>
          </cell>
          <cell r="L20">
            <v>37908000</v>
          </cell>
          <cell r="N20">
            <v>21403000</v>
          </cell>
          <cell r="Q20">
            <v>272327000</v>
          </cell>
          <cell r="R20">
            <v>135948000</v>
          </cell>
          <cell r="V20">
            <v>1011000</v>
          </cell>
          <cell r="W20">
            <v>41531000</v>
          </cell>
          <cell r="AC20">
            <v>93837000</v>
          </cell>
          <cell r="AI20">
            <v>0</v>
          </cell>
        </row>
        <row r="21">
          <cell r="J21">
            <v>93383000</v>
          </cell>
          <cell r="K21">
            <v>32794000</v>
          </cell>
          <cell r="L21">
            <v>41139000</v>
          </cell>
          <cell r="N21">
            <v>13311000</v>
          </cell>
          <cell r="Q21">
            <v>264178000</v>
          </cell>
          <cell r="R21">
            <v>152082000</v>
          </cell>
          <cell r="V21">
            <v>1098000</v>
          </cell>
          <cell r="W21">
            <v>41616000</v>
          </cell>
          <cell r="AC21">
            <v>69382000</v>
          </cell>
          <cell r="AI21">
            <v>0</v>
          </cell>
        </row>
        <row r="22">
          <cell r="J22">
            <v>68644000</v>
          </cell>
          <cell r="K22">
            <v>21162000</v>
          </cell>
          <cell r="L22">
            <v>32720000</v>
          </cell>
          <cell r="N22">
            <v>11042000</v>
          </cell>
          <cell r="Q22">
            <v>262742000</v>
          </cell>
          <cell r="R22">
            <v>152214000</v>
          </cell>
          <cell r="V22">
            <v>1048000</v>
          </cell>
          <cell r="W22">
            <v>49208000</v>
          </cell>
          <cell r="AC22">
            <v>60272000</v>
          </cell>
          <cell r="AI22">
            <v>0</v>
          </cell>
        </row>
      </sheetData>
      <sheetData sheetId="3">
        <row r="2">
          <cell r="B2">
            <v>30680458</v>
          </cell>
          <cell r="I2">
            <v>2686529</v>
          </cell>
          <cell r="K2">
            <v>366568</v>
          </cell>
          <cell r="O2">
            <v>3138445</v>
          </cell>
          <cell r="Q2">
            <v>2537596</v>
          </cell>
        </row>
        <row r="3">
          <cell r="B3">
            <v>41188267</v>
          </cell>
          <cell r="I3">
            <v>4947620</v>
          </cell>
          <cell r="K3">
            <v>480195</v>
          </cell>
          <cell r="O3">
            <v>5273070</v>
          </cell>
          <cell r="Q3">
            <v>4637776</v>
          </cell>
        </row>
        <row r="4">
          <cell r="B4">
            <v>52867189</v>
          </cell>
          <cell r="I4">
            <v>2576607</v>
          </cell>
          <cell r="K4">
            <v>670838</v>
          </cell>
          <cell r="O4">
            <v>2729347</v>
          </cell>
          <cell r="Q4">
            <v>2060198</v>
          </cell>
        </row>
        <row r="5">
          <cell r="B5">
            <v>63792983</v>
          </cell>
          <cell r="I5">
            <v>2603882</v>
          </cell>
          <cell r="K5">
            <v>1050246</v>
          </cell>
          <cell r="O5">
            <v>3011065</v>
          </cell>
          <cell r="Q5">
            <v>2480426</v>
          </cell>
        </row>
        <row r="6">
          <cell r="B6">
            <v>79535205</v>
          </cell>
          <cell r="I6">
            <v>-1603322</v>
          </cell>
          <cell r="K6">
            <v>2281414</v>
          </cell>
          <cell r="O6">
            <v>-2915403</v>
          </cell>
          <cell r="Q6">
            <v>-2526626</v>
          </cell>
        </row>
        <row r="7">
          <cell r="B7">
            <v>67927990</v>
          </cell>
          <cell r="I7">
            <v>1097076</v>
          </cell>
          <cell r="K7">
            <v>1023074</v>
          </cell>
          <cell r="O7">
            <v>1440652</v>
          </cell>
          <cell r="Q7">
            <v>1300167</v>
          </cell>
        </row>
        <row r="8">
          <cell r="B8">
            <v>83547432</v>
          </cell>
          <cell r="I8">
            <v>3122649</v>
          </cell>
          <cell r="K8">
            <v>751248</v>
          </cell>
          <cell r="O8">
            <v>3070167</v>
          </cell>
          <cell r="Q8">
            <v>2455467</v>
          </cell>
        </row>
        <row r="9">
          <cell r="B9">
            <v>106973074</v>
          </cell>
          <cell r="I9">
            <v>2066472</v>
          </cell>
          <cell r="K9">
            <v>2243175</v>
          </cell>
          <cell r="O9">
            <v>2791741</v>
          </cell>
          <cell r="Q9">
            <v>2015003</v>
          </cell>
        </row>
        <row r="10">
          <cell r="B10">
            <v>120101550</v>
          </cell>
          <cell r="I10">
            <v>2024371</v>
          </cell>
          <cell r="K10">
            <v>981226</v>
          </cell>
          <cell r="O10">
            <v>2624443</v>
          </cell>
          <cell r="Q10">
            <v>2169990</v>
          </cell>
        </row>
        <row r="11">
          <cell r="B11">
            <v>113853000</v>
          </cell>
          <cell r="I11">
            <v>333000</v>
          </cell>
          <cell r="K11">
            <v>628000</v>
          </cell>
          <cell r="O11">
            <v>178000</v>
          </cell>
          <cell r="Q11">
            <v>90000</v>
          </cell>
        </row>
        <row r="12">
          <cell r="B12">
            <v>106832000</v>
          </cell>
          <cell r="I12">
            <v>-4711000</v>
          </cell>
          <cell r="K12">
            <v>1889000</v>
          </cell>
          <cell r="O12">
            <v>-6246000</v>
          </cell>
          <cell r="Q12">
            <v>-5828000</v>
          </cell>
        </row>
        <row r="13">
          <cell r="B13">
            <v>88336000</v>
          </cell>
          <cell r="I13">
            <v>4340000</v>
          </cell>
          <cell r="K13">
            <v>1032000</v>
          </cell>
          <cell r="O13">
            <v>3698000</v>
          </cell>
          <cell r="Q13">
            <v>3233000</v>
          </cell>
        </row>
        <row r="14">
          <cell r="B14">
            <v>79553000</v>
          </cell>
          <cell r="I14">
            <v>7532000</v>
          </cell>
          <cell r="K14">
            <v>893000</v>
          </cell>
          <cell r="O14">
            <v>6887000</v>
          </cell>
          <cell r="Q14">
            <v>5740000</v>
          </cell>
        </row>
        <row r="15">
          <cell r="B15">
            <v>95364000</v>
          </cell>
          <cell r="I15">
            <v>8657000</v>
          </cell>
          <cell r="K15">
            <v>1700000</v>
          </cell>
          <cell r="O15">
            <v>8717000</v>
          </cell>
          <cell r="Q15">
            <v>7173000</v>
          </cell>
        </row>
        <row r="16">
          <cell r="B16">
            <v>109706000</v>
          </cell>
          <cell r="I16">
            <v>7103000</v>
          </cell>
          <cell r="K16">
            <v>1517000</v>
          </cell>
          <cell r="O16">
            <v>6999000</v>
          </cell>
          <cell r="Q16">
            <v>5511000</v>
          </cell>
        </row>
        <row r="17">
          <cell r="B17">
            <v>111203000</v>
          </cell>
          <cell r="I17">
            <v>5365000</v>
          </cell>
          <cell r="K17">
            <v>901000</v>
          </cell>
          <cell r="O17">
            <v>5352000</v>
          </cell>
          <cell r="Q17">
            <v>4298000</v>
          </cell>
        </row>
        <row r="18">
          <cell r="B18">
            <v>86180000</v>
          </cell>
          <cell r="I18">
            <v>3974000</v>
          </cell>
          <cell r="K18">
            <v>1889000</v>
          </cell>
          <cell r="O18">
            <v>2922000</v>
          </cell>
          <cell r="Q18">
            <v>2825000</v>
          </cell>
        </row>
        <row r="19">
          <cell r="B19">
            <v>131341000</v>
          </cell>
          <cell r="I19">
            <v>13870000</v>
          </cell>
          <cell r="K19">
            <v>968000</v>
          </cell>
          <cell r="O19">
            <v>13683000</v>
          </cell>
          <cell r="Q19">
            <v>11188000</v>
          </cell>
        </row>
        <row r="20">
          <cell r="B20">
            <v>277564000</v>
          </cell>
          <cell r="I20">
            <v>41093000</v>
          </cell>
          <cell r="K20">
            <v>2749000</v>
          </cell>
          <cell r="O20">
            <v>40593000</v>
          </cell>
          <cell r="Q20">
            <v>33630000</v>
          </cell>
        </row>
        <row r="21">
          <cell r="B21">
            <v>372767000</v>
          </cell>
          <cell r="I21">
            <v>28056000</v>
          </cell>
          <cell r="K21">
            <v>2149000</v>
          </cell>
          <cell r="O21">
            <v>30314000</v>
          </cell>
          <cell r="Q21">
            <v>20727000</v>
          </cell>
        </row>
        <row r="22">
          <cell r="B22">
            <v>296947000</v>
          </cell>
          <cell r="I22">
            <v>15665000</v>
          </cell>
          <cell r="K22">
            <v>1605000</v>
          </cell>
          <cell r="O22">
            <v>15337000</v>
          </cell>
          <cell r="Q22">
            <v>7953000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kaźniki roczne"/>
      <sheetName val="BR Rpp_Orlen"/>
      <sheetName val="BR Bilans"/>
      <sheetName val="BR RZiS"/>
      <sheetName val="BR Bilans Q S"/>
      <sheetName val="BR RZiS Q -S"/>
      <sheetName val="Testowy"/>
      <sheetName val="Data Validation #2"/>
      <sheetName val="Dane Makro"/>
      <sheetName val="BR RPP Q S"/>
      <sheetName val="Wskaźniki kwartalne"/>
      <sheetName val="kopie waznych rzeczy"/>
    </sheetNames>
    <sheetDataSet>
      <sheetData sheetId="0" refreshError="1"/>
      <sheetData sheetId="1">
        <row r="2">
          <cell r="C2">
            <v>1350392</v>
          </cell>
        </row>
        <row r="3">
          <cell r="C3">
            <v>1779944</v>
          </cell>
        </row>
        <row r="4">
          <cell r="C4">
            <v>2108127</v>
          </cell>
        </row>
        <row r="5">
          <cell r="C5">
            <v>2431423</v>
          </cell>
        </row>
        <row r="6">
          <cell r="C6">
            <v>2491383</v>
          </cell>
        </row>
        <row r="7">
          <cell r="C7">
            <v>2567646</v>
          </cell>
        </row>
        <row r="8">
          <cell r="C8">
            <v>2422747</v>
          </cell>
        </row>
        <row r="9">
          <cell r="C9">
            <v>2379948</v>
          </cell>
        </row>
        <row r="10">
          <cell r="C10">
            <v>2260122</v>
          </cell>
        </row>
        <row r="11">
          <cell r="C11">
            <v>2170000</v>
          </cell>
        </row>
        <row r="12">
          <cell r="C12">
            <v>1991000</v>
          </cell>
        </row>
        <row r="13">
          <cell r="C13">
            <v>1895000</v>
          </cell>
        </row>
        <row r="14">
          <cell r="C14">
            <v>2110000</v>
          </cell>
        </row>
        <row r="15">
          <cell r="C15">
            <v>2421000</v>
          </cell>
        </row>
        <row r="16">
          <cell r="C16">
            <v>2673000</v>
          </cell>
        </row>
        <row r="17">
          <cell r="C17">
            <v>3506000</v>
          </cell>
        </row>
        <row r="18">
          <cell r="C18">
            <v>4537000</v>
          </cell>
        </row>
        <row r="19">
          <cell r="C19">
            <v>5341000</v>
          </cell>
        </row>
        <row r="20">
          <cell r="C20">
            <v>6946000</v>
          </cell>
        </row>
        <row r="21">
          <cell r="C21">
            <v>14200000</v>
          </cell>
        </row>
        <row r="22">
          <cell r="C22">
            <v>13936000</v>
          </cell>
        </row>
      </sheetData>
      <sheetData sheetId="2">
        <row r="1">
          <cell r="A1" t="str">
            <v>Rok</v>
          </cell>
        </row>
        <row r="2">
          <cell r="A2">
            <v>2004</v>
          </cell>
          <cell r="J2">
            <v>7921660</v>
          </cell>
          <cell r="K2">
            <v>3200982</v>
          </cell>
          <cell r="L2">
            <v>2604092</v>
          </cell>
          <cell r="N2">
            <v>729498</v>
          </cell>
          <cell r="Q2">
            <v>20869475</v>
          </cell>
          <cell r="R2">
            <v>13191608</v>
          </cell>
          <cell r="V2">
            <v>439706</v>
          </cell>
          <cell r="W2">
            <v>3237711</v>
          </cell>
          <cell r="AC2">
            <v>4000450</v>
          </cell>
          <cell r="AI2">
            <v>0</v>
          </cell>
        </row>
        <row r="3">
          <cell r="A3">
            <v>2005</v>
          </cell>
          <cell r="J3">
            <v>12518779</v>
          </cell>
          <cell r="K3">
            <v>6113237</v>
          </cell>
          <cell r="L3">
            <v>4827205</v>
          </cell>
          <cell r="N3">
            <v>1126803</v>
          </cell>
          <cell r="Q3">
            <v>33404311</v>
          </cell>
          <cell r="R3">
            <v>16671837</v>
          </cell>
          <cell r="V3">
            <v>2641152</v>
          </cell>
          <cell r="W3">
            <v>5553853</v>
          </cell>
          <cell r="AC3">
            <v>8537469</v>
          </cell>
          <cell r="AI3">
            <v>0</v>
          </cell>
        </row>
        <row r="4">
          <cell r="A4">
            <v>2006</v>
          </cell>
          <cell r="J4">
            <v>17758286</v>
          </cell>
          <cell r="K4">
            <v>7398856</v>
          </cell>
          <cell r="L4">
            <v>6546713</v>
          </cell>
          <cell r="N4">
            <v>2351320</v>
          </cell>
          <cell r="Q4">
            <v>45419084</v>
          </cell>
          <cell r="R4">
            <v>18850940</v>
          </cell>
          <cell r="V4">
            <v>2731623</v>
          </cell>
          <cell r="W4">
            <v>8958143</v>
          </cell>
          <cell r="AC4">
            <v>14878378</v>
          </cell>
          <cell r="AI4">
            <v>0</v>
          </cell>
        </row>
        <row r="5">
          <cell r="A5">
            <v>2007</v>
          </cell>
          <cell r="J5">
            <v>19366488</v>
          </cell>
          <cell r="K5">
            <v>10365409</v>
          </cell>
          <cell r="L5">
            <v>6999836</v>
          </cell>
          <cell r="N5">
            <v>1498232</v>
          </cell>
          <cell r="Q5">
            <v>46102825</v>
          </cell>
          <cell r="R5">
            <v>19935335</v>
          </cell>
          <cell r="V5">
            <v>2637425</v>
          </cell>
          <cell r="W5">
            <v>11091402</v>
          </cell>
          <cell r="AC5">
            <v>12438663</v>
          </cell>
          <cell r="AI5">
            <v>0</v>
          </cell>
        </row>
        <row r="6">
          <cell r="A6">
            <v>2008</v>
          </cell>
          <cell r="J6">
            <v>17694894</v>
          </cell>
          <cell r="K6">
            <v>9089047</v>
          </cell>
          <cell r="L6">
            <v>6748216</v>
          </cell>
          <cell r="N6">
            <v>1344224</v>
          </cell>
          <cell r="Q6">
            <v>46975750</v>
          </cell>
          <cell r="R6">
            <v>17813091</v>
          </cell>
          <cell r="V6">
            <v>2718556</v>
          </cell>
          <cell r="W6">
            <v>4634178</v>
          </cell>
          <cell r="AC6">
            <v>21809925</v>
          </cell>
          <cell r="AI6">
            <v>0</v>
          </cell>
        </row>
        <row r="7">
          <cell r="A7">
            <v>2009</v>
          </cell>
          <cell r="J7">
            <v>19433046</v>
          </cell>
          <cell r="K7">
            <v>10619859</v>
          </cell>
          <cell r="L7">
            <v>5451518</v>
          </cell>
          <cell r="N7">
            <v>2941039</v>
          </cell>
          <cell r="Q7">
            <v>49088070</v>
          </cell>
          <cell r="R7">
            <v>19037903</v>
          </cell>
          <cell r="V7">
            <v>2669308</v>
          </cell>
          <cell r="W7">
            <v>13223343</v>
          </cell>
          <cell r="AC7">
            <v>14157516</v>
          </cell>
          <cell r="AI7">
            <v>0</v>
          </cell>
        </row>
        <row r="8">
          <cell r="A8">
            <v>2010</v>
          </cell>
          <cell r="J8">
            <v>20718918</v>
          </cell>
          <cell r="K8">
            <v>11294851</v>
          </cell>
          <cell r="L8">
            <v>6337075</v>
          </cell>
          <cell r="N8">
            <v>2820742</v>
          </cell>
          <cell r="Q8">
            <v>51149792</v>
          </cell>
          <cell r="R8">
            <v>21627938</v>
          </cell>
          <cell r="V8">
            <v>2612015</v>
          </cell>
          <cell r="W8">
            <v>10667861</v>
          </cell>
          <cell r="AC8">
            <v>16241978</v>
          </cell>
          <cell r="AI8">
            <v>0</v>
          </cell>
        </row>
        <row r="9">
          <cell r="A9">
            <v>2011</v>
          </cell>
          <cell r="J9">
            <v>30132337</v>
          </cell>
          <cell r="K9">
            <v>16296517</v>
          </cell>
          <cell r="L9">
            <v>8104695</v>
          </cell>
          <cell r="N9">
            <v>5409166</v>
          </cell>
          <cell r="Q9">
            <v>58731478</v>
          </cell>
          <cell r="R9">
            <v>24533773</v>
          </cell>
          <cell r="V9">
            <v>2264910</v>
          </cell>
          <cell r="W9">
            <v>12120002</v>
          </cell>
          <cell r="AC9">
            <v>19812793</v>
          </cell>
          <cell r="AI9">
            <v>0</v>
          </cell>
        </row>
        <row r="10">
          <cell r="A10">
            <v>2012</v>
          </cell>
          <cell r="J10">
            <v>25820143</v>
          </cell>
          <cell r="K10">
            <v>15011047</v>
          </cell>
          <cell r="L10">
            <v>8164927</v>
          </cell>
          <cell r="N10">
            <v>2211425</v>
          </cell>
          <cell r="Q10">
            <v>52630780</v>
          </cell>
          <cell r="R10">
            <v>26479187</v>
          </cell>
          <cell r="V10">
            <v>1827646</v>
          </cell>
          <cell r="W10">
            <v>9196658</v>
          </cell>
          <cell r="AC10">
            <v>15127289</v>
          </cell>
          <cell r="AI10">
            <v>0</v>
          </cell>
        </row>
        <row r="11">
          <cell r="A11">
            <v>2013</v>
          </cell>
          <cell r="J11">
            <v>24445000</v>
          </cell>
          <cell r="K11">
            <v>13749000</v>
          </cell>
          <cell r="L11">
            <v>7827000</v>
          </cell>
          <cell r="N11">
            <v>2893000</v>
          </cell>
          <cell r="Q11">
            <v>51352000</v>
          </cell>
          <cell r="R11">
            <v>25948000</v>
          </cell>
          <cell r="V11">
            <v>1603000</v>
          </cell>
          <cell r="W11">
            <v>7846000</v>
          </cell>
          <cell r="AC11">
            <v>15955000</v>
          </cell>
          <cell r="AI11">
            <v>0</v>
          </cell>
        </row>
        <row r="12">
          <cell r="A12">
            <v>2014</v>
          </cell>
          <cell r="J12">
            <v>21754000</v>
          </cell>
          <cell r="K12">
            <v>9829000</v>
          </cell>
          <cell r="L12">
            <v>7092000</v>
          </cell>
          <cell r="N12">
            <v>3937000</v>
          </cell>
          <cell r="Q12">
            <v>46725000</v>
          </cell>
          <cell r="R12">
            <v>18771000</v>
          </cell>
          <cell r="V12">
            <v>1615000</v>
          </cell>
          <cell r="W12">
            <v>12305000</v>
          </cell>
          <cell r="AC12">
            <v>14034000</v>
          </cell>
          <cell r="AI12">
            <v>0</v>
          </cell>
        </row>
        <row r="13">
          <cell r="A13">
            <v>2015</v>
          </cell>
          <cell r="J13">
            <v>20775000</v>
          </cell>
          <cell r="K13">
            <v>10715000</v>
          </cell>
          <cell r="L13">
            <v>6641000</v>
          </cell>
          <cell r="N13">
            <v>2348000</v>
          </cell>
          <cell r="Q13">
            <v>48137000</v>
          </cell>
          <cell r="R13">
            <v>22173000</v>
          </cell>
          <cell r="V13">
            <v>2071000</v>
          </cell>
          <cell r="W13">
            <v>10227000</v>
          </cell>
          <cell r="AC13">
            <v>13666000</v>
          </cell>
          <cell r="AI13">
            <v>0</v>
          </cell>
        </row>
        <row r="14">
          <cell r="A14">
            <v>2016</v>
          </cell>
          <cell r="J14">
            <v>25238000</v>
          </cell>
          <cell r="K14">
            <v>11182000</v>
          </cell>
          <cell r="L14">
            <v>8674000</v>
          </cell>
          <cell r="N14">
            <v>5072000</v>
          </cell>
          <cell r="Q14">
            <v>55559000</v>
          </cell>
          <cell r="R14">
            <v>26764000</v>
          </cell>
          <cell r="V14">
            <v>2522000</v>
          </cell>
          <cell r="W14">
            <v>9652000</v>
          </cell>
          <cell r="AC14">
            <v>16621000</v>
          </cell>
          <cell r="AI14">
            <v>0</v>
          </cell>
        </row>
        <row r="15">
          <cell r="A15">
            <v>2017</v>
          </cell>
          <cell r="J15">
            <v>28924000</v>
          </cell>
          <cell r="K15">
            <v>12440000</v>
          </cell>
          <cell r="L15">
            <v>9598000</v>
          </cell>
          <cell r="N15">
            <v>6244000</v>
          </cell>
          <cell r="Q15">
            <v>60664000</v>
          </cell>
          <cell r="R15">
            <v>32197000</v>
          </cell>
          <cell r="V15">
            <v>3014000</v>
          </cell>
          <cell r="W15">
            <v>9071000</v>
          </cell>
          <cell r="AC15">
            <v>16382000</v>
          </cell>
          <cell r="AI15">
            <v>0</v>
          </cell>
        </row>
        <row r="16">
          <cell r="A16">
            <v>2018</v>
          </cell>
          <cell r="J16">
            <v>30164000</v>
          </cell>
          <cell r="K16">
            <v>14317000</v>
          </cell>
          <cell r="L16">
            <v>10593000</v>
          </cell>
          <cell r="N16">
            <v>4192000</v>
          </cell>
          <cell r="Q16">
            <v>64031000</v>
          </cell>
          <cell r="R16">
            <v>35634000</v>
          </cell>
          <cell r="V16">
            <v>12000</v>
          </cell>
          <cell r="W16">
            <v>11487000</v>
          </cell>
          <cell r="AC16">
            <v>16898000</v>
          </cell>
          <cell r="AI16">
            <v>0</v>
          </cell>
        </row>
        <row r="17">
          <cell r="A17">
            <v>2019</v>
          </cell>
          <cell r="J17">
            <v>31925000</v>
          </cell>
          <cell r="K17">
            <v>15074000</v>
          </cell>
          <cell r="L17">
            <v>9945000</v>
          </cell>
          <cell r="N17">
            <v>6159000</v>
          </cell>
          <cell r="Q17">
            <v>71202000</v>
          </cell>
          <cell r="R17">
            <v>38596000</v>
          </cell>
          <cell r="V17">
            <v>11000</v>
          </cell>
          <cell r="W17">
            <v>14315000</v>
          </cell>
          <cell r="AC17">
            <v>18280000</v>
          </cell>
          <cell r="AI17">
            <v>0</v>
          </cell>
        </row>
        <row r="18">
          <cell r="A18">
            <v>2020</v>
          </cell>
          <cell r="J18">
            <v>24615000</v>
          </cell>
          <cell r="K18">
            <v>12279000</v>
          </cell>
          <cell r="L18">
            <v>10089000</v>
          </cell>
          <cell r="N18">
            <v>1240000</v>
          </cell>
          <cell r="Q18">
            <v>83827000</v>
          </cell>
          <cell r="R18">
            <v>41596000</v>
          </cell>
          <cell r="V18">
            <v>783000</v>
          </cell>
          <cell r="W18">
            <v>18524000</v>
          </cell>
          <cell r="AC18">
            <v>22924000</v>
          </cell>
          <cell r="AI18">
            <v>0</v>
          </cell>
        </row>
        <row r="19">
          <cell r="A19">
            <v>2021</v>
          </cell>
          <cell r="J19">
            <v>38048000</v>
          </cell>
          <cell r="K19">
            <v>18410000</v>
          </cell>
          <cell r="L19">
            <v>15170000</v>
          </cell>
          <cell r="N19">
            <v>2896000</v>
          </cell>
          <cell r="Q19">
            <v>106754000</v>
          </cell>
          <cell r="R19">
            <v>51707000</v>
          </cell>
          <cell r="V19">
            <v>871000</v>
          </cell>
          <cell r="W19">
            <v>23883000</v>
          </cell>
          <cell r="AC19">
            <v>30293000</v>
          </cell>
          <cell r="AI19">
            <v>0</v>
          </cell>
        </row>
        <row r="20">
          <cell r="A20">
            <v>2022</v>
          </cell>
          <cell r="J20">
            <v>119210000</v>
          </cell>
          <cell r="K20">
            <v>44779000</v>
          </cell>
          <cell r="L20">
            <v>37908000</v>
          </cell>
          <cell r="N20">
            <v>21403000</v>
          </cell>
          <cell r="Q20">
            <v>272327000</v>
          </cell>
          <cell r="R20">
            <v>135948000</v>
          </cell>
          <cell r="V20">
            <v>1011000</v>
          </cell>
          <cell r="W20">
            <v>41531000</v>
          </cell>
          <cell r="AC20">
            <v>93837000</v>
          </cell>
          <cell r="AI20">
            <v>0</v>
          </cell>
        </row>
        <row r="21">
          <cell r="A21">
            <v>2023</v>
          </cell>
          <cell r="J21">
            <v>93383000</v>
          </cell>
          <cell r="K21">
            <v>32794000</v>
          </cell>
          <cell r="L21">
            <v>41139000</v>
          </cell>
          <cell r="N21">
            <v>13311000</v>
          </cell>
          <cell r="Q21">
            <v>264178000</v>
          </cell>
          <cell r="R21">
            <v>152082000</v>
          </cell>
          <cell r="V21">
            <v>1098000</v>
          </cell>
          <cell r="W21">
            <v>41616000</v>
          </cell>
          <cell r="AC21">
            <v>69382000</v>
          </cell>
          <cell r="AI21">
            <v>0</v>
          </cell>
        </row>
        <row r="22">
          <cell r="A22">
            <v>2024</v>
          </cell>
          <cell r="J22">
            <v>68644000</v>
          </cell>
          <cell r="K22">
            <v>21162000</v>
          </cell>
          <cell r="L22">
            <v>32720000</v>
          </cell>
          <cell r="N22">
            <v>11042000</v>
          </cell>
          <cell r="Q22">
            <v>262742000</v>
          </cell>
          <cell r="R22">
            <v>152214000</v>
          </cell>
          <cell r="V22">
            <v>1048000</v>
          </cell>
          <cell r="W22">
            <v>49208000</v>
          </cell>
          <cell r="AC22">
            <v>60272000</v>
          </cell>
          <cell r="AI22">
            <v>0</v>
          </cell>
        </row>
      </sheetData>
      <sheetData sheetId="3">
        <row r="2">
          <cell r="B2">
            <v>30680458</v>
          </cell>
          <cell r="I2">
            <v>2686529</v>
          </cell>
          <cell r="K2">
            <v>366568</v>
          </cell>
          <cell r="O2">
            <v>3138445</v>
          </cell>
          <cell r="Q2">
            <v>2537596</v>
          </cell>
        </row>
        <row r="3">
          <cell r="B3">
            <v>41188267</v>
          </cell>
          <cell r="I3">
            <v>4947620</v>
          </cell>
          <cell r="K3">
            <v>480195</v>
          </cell>
          <cell r="O3">
            <v>5273070</v>
          </cell>
          <cell r="Q3">
            <v>4637776</v>
          </cell>
        </row>
        <row r="4">
          <cell r="B4">
            <v>52867189</v>
          </cell>
          <cell r="I4">
            <v>2576607</v>
          </cell>
          <cell r="K4">
            <v>670838</v>
          </cell>
          <cell r="O4">
            <v>2729347</v>
          </cell>
          <cell r="Q4">
            <v>2060198</v>
          </cell>
        </row>
        <row r="5">
          <cell r="B5">
            <v>63792983</v>
          </cell>
          <cell r="I5">
            <v>2603882</v>
          </cell>
          <cell r="K5">
            <v>1050246</v>
          </cell>
          <cell r="O5">
            <v>3011065</v>
          </cell>
          <cell r="Q5">
            <v>2480426</v>
          </cell>
        </row>
        <row r="6">
          <cell r="B6">
            <v>79535205</v>
          </cell>
          <cell r="I6">
            <v>-1603322</v>
          </cell>
          <cell r="K6">
            <v>2281414</v>
          </cell>
          <cell r="O6">
            <v>-2915403</v>
          </cell>
          <cell r="Q6">
            <v>-2526626</v>
          </cell>
        </row>
        <row r="7">
          <cell r="B7">
            <v>67927990</v>
          </cell>
          <cell r="I7">
            <v>1097076</v>
          </cell>
          <cell r="K7">
            <v>1023074</v>
          </cell>
          <cell r="O7">
            <v>1440652</v>
          </cell>
          <cell r="Q7">
            <v>1300167</v>
          </cell>
        </row>
        <row r="8">
          <cell r="B8">
            <v>83547432</v>
          </cell>
          <cell r="I8">
            <v>3122649</v>
          </cell>
          <cell r="K8">
            <v>751248</v>
          </cell>
          <cell r="O8">
            <v>3070167</v>
          </cell>
          <cell r="Q8">
            <v>2455467</v>
          </cell>
        </row>
        <row r="9">
          <cell r="B9">
            <v>106973074</v>
          </cell>
          <cell r="I9">
            <v>2066472</v>
          </cell>
          <cell r="K9">
            <v>2243175</v>
          </cell>
          <cell r="O9">
            <v>2791741</v>
          </cell>
          <cell r="Q9">
            <v>2015003</v>
          </cell>
        </row>
        <row r="10">
          <cell r="B10">
            <v>120101550</v>
          </cell>
          <cell r="I10">
            <v>2024371</v>
          </cell>
          <cell r="K10">
            <v>981226</v>
          </cell>
          <cell r="O10">
            <v>2624443</v>
          </cell>
          <cell r="Q10">
            <v>2169990</v>
          </cell>
        </row>
        <row r="11">
          <cell r="B11">
            <v>113853000</v>
          </cell>
          <cell r="I11">
            <v>333000</v>
          </cell>
          <cell r="K11">
            <v>628000</v>
          </cell>
          <cell r="O11">
            <v>178000</v>
          </cell>
          <cell r="Q11">
            <v>90000</v>
          </cell>
        </row>
        <row r="12">
          <cell r="B12">
            <v>106832000</v>
          </cell>
          <cell r="I12">
            <v>-4711000</v>
          </cell>
          <cell r="K12">
            <v>1889000</v>
          </cell>
          <cell r="O12">
            <v>-6246000</v>
          </cell>
          <cell r="Q12">
            <v>-5828000</v>
          </cell>
        </row>
        <row r="13">
          <cell r="B13">
            <v>88336000</v>
          </cell>
          <cell r="I13">
            <v>4340000</v>
          </cell>
          <cell r="K13">
            <v>1032000</v>
          </cell>
          <cell r="O13">
            <v>3698000</v>
          </cell>
          <cell r="Q13">
            <v>3233000</v>
          </cell>
        </row>
        <row r="14">
          <cell r="B14">
            <v>79553000</v>
          </cell>
          <cell r="I14">
            <v>7532000</v>
          </cell>
          <cell r="K14">
            <v>893000</v>
          </cell>
          <cell r="O14">
            <v>6887000</v>
          </cell>
          <cell r="Q14">
            <v>5740000</v>
          </cell>
        </row>
        <row r="15">
          <cell r="B15">
            <v>95364000</v>
          </cell>
          <cell r="I15">
            <v>8657000</v>
          </cell>
          <cell r="K15">
            <v>1700000</v>
          </cell>
          <cell r="O15">
            <v>8717000</v>
          </cell>
          <cell r="Q15">
            <v>7173000</v>
          </cell>
        </row>
        <row r="16">
          <cell r="B16">
            <v>109706000</v>
          </cell>
          <cell r="I16">
            <v>7103000</v>
          </cell>
          <cell r="K16">
            <v>1517000</v>
          </cell>
          <cell r="O16">
            <v>6999000</v>
          </cell>
          <cell r="Q16">
            <v>5511000</v>
          </cell>
        </row>
        <row r="17">
          <cell r="B17">
            <v>111203000</v>
          </cell>
          <cell r="I17">
            <v>5365000</v>
          </cell>
          <cell r="K17">
            <v>901000</v>
          </cell>
          <cell r="O17">
            <v>5352000</v>
          </cell>
          <cell r="Q17">
            <v>4298000</v>
          </cell>
        </row>
        <row r="18">
          <cell r="B18">
            <v>86180000</v>
          </cell>
          <cell r="I18">
            <v>3974000</v>
          </cell>
          <cell r="K18">
            <v>1889000</v>
          </cell>
          <cell r="O18">
            <v>2922000</v>
          </cell>
          <cell r="Q18">
            <v>2825000</v>
          </cell>
        </row>
        <row r="19">
          <cell r="B19">
            <v>131341000</v>
          </cell>
          <cell r="I19">
            <v>13870000</v>
          </cell>
          <cell r="K19">
            <v>968000</v>
          </cell>
          <cell r="O19">
            <v>13683000</v>
          </cell>
          <cell r="Q19">
            <v>11188000</v>
          </cell>
        </row>
        <row r="20">
          <cell r="B20">
            <v>277564000</v>
          </cell>
          <cell r="I20">
            <v>41093000</v>
          </cell>
          <cell r="K20">
            <v>2749000</v>
          </cell>
          <cell r="O20">
            <v>40593000</v>
          </cell>
          <cell r="Q20">
            <v>33630000</v>
          </cell>
        </row>
        <row r="21">
          <cell r="B21">
            <v>372767000</v>
          </cell>
          <cell r="I21">
            <v>28056000</v>
          </cell>
          <cell r="K21">
            <v>2149000</v>
          </cell>
          <cell r="O21">
            <v>30314000</v>
          </cell>
          <cell r="Q21">
            <v>20727000</v>
          </cell>
        </row>
        <row r="22">
          <cell r="B22">
            <v>296947000</v>
          </cell>
          <cell r="I22">
            <v>15665000</v>
          </cell>
          <cell r="K22">
            <v>1605000</v>
          </cell>
          <cell r="O22">
            <v>15337000</v>
          </cell>
          <cell r="Q22">
            <v>7953000</v>
          </cell>
        </row>
      </sheetData>
      <sheetData sheetId="4"/>
      <sheetData sheetId="5"/>
      <sheetData sheetId="6">
        <row r="3">
          <cell r="A3">
            <v>2004</v>
          </cell>
        </row>
      </sheetData>
      <sheetData sheetId="7" refreshError="1"/>
      <sheetData sheetId="8" refreshError="1"/>
      <sheetData sheetId="9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_Tables"/>
      <sheetName val="Stare VALIDATION"/>
      <sheetName val="3_Collaboration"/>
      <sheetName val="Jobs"/>
      <sheetName val="Country"/>
      <sheetName val="Type"/>
      <sheetName val="Validation"/>
      <sheetName val="Data+Formatting"/>
      <sheetName val="Platform"/>
      <sheetName val="Salary Calcula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601FF01-FFAA-4664-AED3-4FE27089ACB8}" autoFormatId="16" applyNumberFormats="0" applyBorderFormats="0" applyFontFormats="0" applyPatternFormats="0" applyAlignmentFormats="0" applyWidthHeightFormats="0">
  <queryTableRefresh nextId="24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FB85F36B-4593-43AA-82AD-C984014D9A14}" autoFormatId="16" applyNumberFormats="0" applyBorderFormats="0" applyFontFormats="0" applyPatternFormats="0" applyAlignmentFormats="0" applyWidthHeightFormats="0">
  <queryTableRefresh nextId="24">
    <queryTableFields count="19">
      <queryTableField id="1" name="Column1" tableColumnId="1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  <queryTableDeletedFields count="2">
      <deletedField name="Column23"/>
      <deletedField name="Column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B145A53-9737-460D-BF94-EB70085D684E}" autoFormatId="16" applyNumberFormats="0" applyBorderFormats="0" applyFontFormats="0" applyPatternFormats="0" applyAlignmentFormats="0" applyWidthHeightFormats="0">
  <queryTableRefresh nextId="37">
    <queryTableFields count="3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F5FBD5-C214-4682-98A4-AFCA544A8857}" name="Wska_roczne" displayName="Wska_roczne" ref="B2:P23" totalsRowShown="0" headerRowDxfId="87">
  <autoFilter ref="B2:P23" xr:uid="{DBAFB25A-02F3-4D7F-8C14-A2EF95A7D1C3}"/>
  <tableColumns count="15">
    <tableColumn id="1" xr3:uid="{AA1D5E87-BFC9-4EEB-85C4-BE9D613D4CAA}" name="Rok" dataDxfId="86"/>
    <tableColumn id="2" xr3:uid="{3C6088E0-0243-43C1-B752-0E61E9A159C9}" name="Zadłużenie ogólne" dataDxfId="85">
      <calculatedColumnFormula>('[2]BR Bilans'!$W2+'[2]BR Bilans'!$AC2)/'[2]BR Bilans'!$Q2</calculatedColumnFormula>
    </tableColumn>
    <tableColumn id="3" xr3:uid="{080B94BA-D3DD-4FA7-832F-6FB7E47890A3}" name="Zadłużenie do kapitału własnego" dataDxfId="84">
      <calculatedColumnFormula>('[2]BR Bilans'!$W2+'[2]BR Bilans'!$AC2)/('[2]BR Bilans'!$R2+'[2]BR Bilans'!$V2)</calculatedColumnFormula>
    </tableColumn>
    <tableColumn id="4" xr3:uid="{CECA259A-DC10-473C-BE54-8FDE37A26598}" name="Pokrycie odsetek" dataDxfId="83">
      <calculatedColumnFormula>('[2]BR RZiS'!$O2+'[2]BR RZiS'!$K2)/'[2]BR RZiS'!$K2</calculatedColumnFormula>
    </tableColumn>
    <tableColumn id="5" xr3:uid="{016BB1CF-E072-42E7-86A9-AB5B611B3378}" name="Dług netto do EBITDA" dataDxfId="82">
      <calculatedColumnFormula>(('[2]BR Bilans'!$AC2+'[2]BR Bilans'!$W2)-'[2]BR Bilans'!$N2)/('[2]BR RZiS'!$I2+'[2]BR Rpp_Orlen'!$C2)</calculatedColumnFormula>
    </tableColumn>
    <tableColumn id="6" xr3:uid="{A99B93F9-6D83-46A1-B628-DA65B7E86EC6}" name="Płynności bieżącej" dataDxfId="81">
      <calculatedColumnFormula>'[2]BR Bilans'!$J2/'[2]BR Bilans'!$AC2</calculatedColumnFormula>
    </tableColumn>
    <tableColumn id="7" xr3:uid="{0C0EB285-03DB-4BD3-A6AD-C23F5D3D6D69}" name="Płynności szybkiej" dataDxfId="80">
      <calculatedColumnFormula>('[2]BR Bilans'!$J2-'[2]BR Bilans'!$K2-'[2]BR Bilans'!$AI2)/'[2]BR Bilans'!$AC2</calculatedColumnFormula>
    </tableColumn>
    <tableColumn id="8" xr3:uid="{56F09F9F-C38C-4A3D-AAD7-AE0D4DE46F8E}" name="Płynności natychmiastowej" dataDxfId="79">
      <calculatedColumnFormula>'[2]BR Bilans'!$N2/'[2]BR Bilans'!$AC2</calculatedColumnFormula>
    </tableColumn>
    <tableColumn id="9" xr3:uid="{23F7B551-4CBC-435A-BC40-6E553AC65364}" name="Marża operacyjna EBIT" dataDxfId="78">
      <calculatedColumnFormula>('[2]BR RZiS'!$I2/'[2]BR RZiS'!$B2)</calculatedColumnFormula>
    </tableColumn>
    <tableColumn id="10" xr3:uid="{5457FE6E-409F-4FA0-947E-6FFD7638366C}" name="ROA(Rentowność aktywów)" dataDxfId="77">
      <calculatedColumnFormula>'[2]BR RZiS'!$Q2/'[2]BR Bilans'!$Q2</calculatedColumnFormula>
    </tableColumn>
    <tableColumn id="11" xr3:uid="{B60E3396-95D2-47FA-ADE1-DE85BE5BF89C}" name="ROE (Rentowność kapitału własnego)" dataDxfId="76">
      <calculatedColumnFormula>'[2]BR RZiS'!$Q2/'[2]BR Bilans'!$R2</calculatedColumnFormula>
    </tableColumn>
    <tableColumn id="12" xr3:uid="{04736DE0-8B29-4821-940B-B04AE8CAE772}" name="Marża netto" dataDxfId="75">
      <calculatedColumnFormula>'[2]BR RZiS'!$Q2/'[2]BR RZiS'!$B2</calculatedColumnFormula>
    </tableColumn>
    <tableColumn id="13" xr3:uid="{C27016B3-A28F-4693-896E-120B6A16B061}" name="Rotacja należności( w dniach)" dataDxfId="74">
      <calculatedColumnFormula>('[2]BR Bilans'!$L2/'[2]BR RZiS'!$B2)*365</calculatedColumnFormula>
    </tableColumn>
    <tableColumn id="14" xr3:uid="{B043F614-8010-4CD8-AE79-EB8E6368E1BB}" name="Rotacja zobowiazań( w dniach)" dataDxfId="73">
      <calculatedColumnFormula>('[2]BR Bilans'!$AC2/'[2]BR RZiS'!$B2)*365</calculatedColumnFormula>
    </tableColumn>
    <tableColumn id="15" xr3:uid="{BFE04C10-1D0B-4C63-9DCE-C1D56FD5BEEB}" name="Rotacja zapasów( w dniach)" dataDxfId="72">
      <calculatedColumnFormula>('[2]BR Bilans'!$K2/'[2]BR RZiS'!$B2)*365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5838D4-C557-49C4-A5C3-4C851DA9483B}" name="Rpp_Orlen" displayName="Rpp_Orlen" ref="A1:L22" tableType="queryTable" totalsRowShown="0" headerRowDxfId="71">
  <autoFilter ref="A1:L22" xr:uid="{2915EAFF-885C-4DE0-ADFF-41515CE96C56}"/>
  <tableColumns count="12">
    <tableColumn id="1" xr3:uid="{616804C3-C266-4AB3-B982-617F0C0E2760}" uniqueName="1" name="Rok" queryTableFieldId="1" dataDxfId="70"/>
    <tableColumn id="2" xr3:uid="{44C34400-CED1-4E66-A111-5AF410164E98}" uniqueName="2" name="Przepływy pieniężne z działalności operacyjnej" queryTableFieldId="2" dataDxfId="69"/>
    <tableColumn id="3" xr3:uid="{F246BCD7-D4D6-44CA-B7EE-70C2239ABA74}" uniqueName="3" name="Amortyzacja" queryTableFieldId="3" dataDxfId="68"/>
    <tableColumn id="4" xr3:uid="{FF27BD34-9070-4F4B-B10C-7ADD89624B35}" uniqueName="4" name="Przepływy pieniężne z działalności inwestycyjnej" queryTableFieldId="4" dataDxfId="67"/>
    <tableColumn id="5" xr3:uid="{574DC7B7-3D7B-4E84-8B0C-E2AD501667E7}" uniqueName="5" name="CAPEX (niematerialne i rzeczowe)" queryTableFieldId="5" dataDxfId="66"/>
    <tableColumn id="6" xr3:uid="{2B742EDC-B766-4DBF-BB1F-4FDCC180B913}" uniqueName="6" name="Przepływy pieniężne z działalności finansowej" queryTableFieldId="6" dataDxfId="65"/>
    <tableColumn id="7" xr3:uid="{80D5B144-A4DB-466D-92F6-BEAD70E0813A}" uniqueName="7" name="Emisja akcji" queryTableFieldId="7" dataDxfId="64"/>
    <tableColumn id="8" xr3:uid="{8824365C-9792-459A-A0F2-990C4CE0AB85}" uniqueName="8" name="Dywidenda" queryTableFieldId="8" dataDxfId="63"/>
    <tableColumn id="9" xr3:uid="{65F2819D-4B7B-4DFF-9749-93650C74EBB9}" uniqueName="9" name="Skup akcji" queryTableFieldId="9" dataDxfId="62"/>
    <tableColumn id="10" xr3:uid="{CA586F97-8C28-463C-8EB5-E335249DA144}" uniqueName="10" name="Płatności z tytułu umów leasingu" queryTableFieldId="10" dataDxfId="61"/>
    <tableColumn id="11" xr3:uid="{DE6E6984-3F66-44D6-8A9B-9AB02AFE1A3F}" uniqueName="11" name="Przepływy pieniężne razem" queryTableFieldId="11" dataDxfId="60"/>
    <tableColumn id="12" xr3:uid="{D9E5D08C-A0BC-47EF-8937-B24D19F55D7D}" uniqueName="12" name="Free Cash Flow" queryTableFieldId="12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8CABE4-36F9-49DE-A829-571DE0DCF735}" name="RZiS_Orlen" displayName="RZiS_Orlen" ref="A1:S22" tableType="queryTable" totalsRowShown="0">
  <autoFilter ref="A1:S22" xr:uid="{7D99C8C1-5C10-4D61-9277-9E6E095FDB5E}"/>
  <tableColumns count="19">
    <tableColumn id="1" xr3:uid="{60C9103E-BA37-4A5B-99CB-4C49CE26F489}" uniqueName="1" name="Rok" queryTableFieldId="1" dataDxfId="58"/>
    <tableColumn id="3" xr3:uid="{5AA2D9FD-D8C3-4153-9E3A-0E512277D270}" uniqueName="3" name="Przychody ze sprzedaży" queryTableFieldId="3" dataDxfId="57"/>
    <tableColumn id="4" xr3:uid="{85CFBB8A-3664-4677-8739-8D89CFD96038}" uniqueName="4" name="Techniczny koszt wytworzenia produkcji sprzedanej" queryTableFieldId="4" dataDxfId="56"/>
    <tableColumn id="5" xr3:uid="{DA5EEB84-A44E-4F77-836C-6E023AC47E90}" uniqueName="5" name="Koszty sprzedaży" queryTableFieldId="5" dataDxfId="55"/>
    <tableColumn id="6" xr3:uid="{B30A2647-969B-4272-8950-EEDDDF4279E4}" uniqueName="6" name="Koszty ogólnego zarządu" queryTableFieldId="6" dataDxfId="54"/>
    <tableColumn id="7" xr3:uid="{219FBB2A-1205-41D8-80D4-EC1A76BDC055}" uniqueName="7" name="Zysk ze sprzedaży" queryTableFieldId="7" dataDxfId="53"/>
    <tableColumn id="8" xr3:uid="{C1E15F0A-50DA-4239-8373-61A6D83BBCD4}" uniqueName="8" name="Pozostałe przychody operacyjne" queryTableFieldId="8" dataDxfId="52"/>
    <tableColumn id="9" xr3:uid="{26B389E9-7159-4A7E-898C-45427970ED77}" uniqueName="9" name="Pozostałe koszty operacyjne" queryTableFieldId="9" dataDxfId="51"/>
    <tableColumn id="10" xr3:uid="{AABB0BE4-1766-4CAE-9B07-1068261D8E4E}" uniqueName="10" name="Zysk operacyjny (EBIT)" queryTableFieldId="10" dataDxfId="50"/>
    <tableColumn id="11" xr3:uid="{987C7C5D-7A4B-4D88-8100-E74D50CA5A19}" uniqueName="11" name="Przychody finansowe" queryTableFieldId="11" dataDxfId="49"/>
    <tableColumn id="12" xr3:uid="{C1758954-D669-4801-9458-2AD3FD02DDD5}" uniqueName="12" name="Koszty finansowe" queryTableFieldId="12" dataDxfId="48"/>
    <tableColumn id="13" xr3:uid="{66D3B017-D9F7-4EF4-8BDC-D36105410A17}" uniqueName="13" name="Pozostałe przychody (koszty)" queryTableFieldId="13" dataDxfId="47"/>
    <tableColumn id="14" xr3:uid="{3451CCAB-8981-41BA-8D4F-2A5343B93D95}" uniqueName="14" name="Zysk z działalności gospodarczej" queryTableFieldId="14" dataDxfId="46"/>
    <tableColumn id="15" xr3:uid="{0A246E82-22AB-4B9C-B4D3-6622F4282125}" uniqueName="15" name="Wynik zdarzeń nadzwyczajnych" queryTableFieldId="15" dataDxfId="45"/>
    <tableColumn id="16" xr3:uid="{4F5A424B-0CB0-4A4C-8D2A-26085A66600F}" uniqueName="16" name="Zysk przed opodatkowaniem" queryTableFieldId="16" dataDxfId="44"/>
    <tableColumn id="17" xr3:uid="{B5FF5928-AADF-466B-B681-0E233698E5B1}" uniqueName="17" name="Zysk (strata) netto z działalności zaniechanej" queryTableFieldId="17" dataDxfId="43"/>
    <tableColumn id="18" xr3:uid="{8ECE8260-084A-4D18-B115-1071C1111114}" uniqueName="18" name="Zysk netto" queryTableFieldId="18" dataDxfId="42"/>
    <tableColumn id="19" xr3:uid="{98B1DB97-07AB-4FC0-AA98-6A1A463876A2}" uniqueName="19" name="Zysk netto akcjonariuszy jednostki dominującej" queryTableFieldId="19" dataDxfId="41"/>
    <tableColumn id="20" xr3:uid="{C9A618D5-4526-4B4E-BAE5-9382797753F8}" uniqueName="20" name="EBITDA" queryTableFieldId="20" dataDxfId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10E3D4-0F68-469D-BE62-16B28E50F7FB}" name="Bilans_Orlen" displayName="Bilans_Orlen" ref="A1:AJ23" tableType="queryTable" totalsRowShown="0">
  <autoFilter ref="A1:AJ23" xr:uid="{7AD54B51-DCB3-4D53-86D4-80A5F1870C2D}"/>
  <tableColumns count="36">
    <tableColumn id="1" xr3:uid="{34D9B486-E637-4F7D-8109-4A0A03F11267}" uniqueName="1" name="Rok" queryTableFieldId="1" dataDxfId="39"/>
    <tableColumn id="2" xr3:uid="{FC0BAED8-2841-4E1D-A203-128716DF0095}" uniqueName="2" name="Aktywa trwałe" queryTableFieldId="2" dataDxfId="38"/>
    <tableColumn id="3" xr3:uid="{0C6EA8F6-A73C-4D47-9088-E52C9E142AA0}" uniqueName="3" name="Wartości niematerialne i prawne" queryTableFieldId="3" dataDxfId="37"/>
    <tableColumn id="4" xr3:uid="{73288761-EE3B-4A3C-8341-AF2E202CCF3A}" uniqueName="4" name="Wartość firmy" queryTableFieldId="4" dataDxfId="36"/>
    <tableColumn id="5" xr3:uid="{B9ED70CE-A958-4FD4-B1BF-8C6F5443953B}" uniqueName="5" name="Rzeczowe składniki majątku trwałego" queryTableFieldId="5" dataDxfId="35"/>
    <tableColumn id="6" xr3:uid="{76D9CDD3-A2D7-43C2-9640-9B0FD9089312}" uniqueName="6" name="Aktywa z tytułu prawa do użytkowania" queryTableFieldId="6" dataDxfId="34"/>
    <tableColumn id="7" xr3:uid="{F424ACD3-C155-4B76-A9A2-5247BBA9746E}" uniqueName="7" name="Należności długoterminowe" queryTableFieldId="7" dataDxfId="33"/>
    <tableColumn id="8" xr3:uid="{7DA95ECE-42E0-4DB5-977B-95EF7E1C0782}" uniqueName="8" name="Inwestycje długoterminowe" queryTableFieldId="8" dataDxfId="32"/>
    <tableColumn id="9" xr3:uid="{ED1E1D2F-482F-47D0-B391-A1C94E99FFD6}" uniqueName="9" name="Pozostałe aktywa trwałe" queryTableFieldId="9" dataDxfId="31"/>
    <tableColumn id="10" xr3:uid="{BB262D04-3D35-438F-8165-E84AEBA13B1F}" uniqueName="10" name="Aktywa obrotowe" queryTableFieldId="10" dataDxfId="30"/>
    <tableColumn id="11" xr3:uid="{7744FC6B-D7E5-47BB-A32B-9CEA4BD2C251}" uniqueName="11" name="Zapasy" queryTableFieldId="11" dataDxfId="29"/>
    <tableColumn id="12" xr3:uid="{DF4BACFA-63E9-4625-8002-3820592F352B}" uniqueName="12" name="Należności krótkoterminowe" queryTableFieldId="12" dataDxfId="28"/>
    <tableColumn id="13" xr3:uid="{FB5A018F-5600-4495-8AFC-D36B5091FD7B}" uniqueName="13" name="Inwestycje krótkoterminowe" queryTableFieldId="13" dataDxfId="27"/>
    <tableColumn id="14" xr3:uid="{A498E6E4-5089-4687-8ABA-63F75C99B5B5}" uniqueName="14" name="Środki pieniężne i inne aktywa pieniężne" queryTableFieldId="14" dataDxfId="26"/>
    <tableColumn id="15" xr3:uid="{B9FFCF97-8AD0-48A9-A525-8A63337F1637}" uniqueName="15" name="Pozostałe aktywa obrotowe" queryTableFieldId="15" dataDxfId="25"/>
    <tableColumn id="16" xr3:uid="{16C15414-E59E-4179-B7A5-B6C0A1870691}" uniqueName="16" name="Aktywa trwałe przeznaczone do sprzedaży" queryTableFieldId="16" dataDxfId="24"/>
    <tableColumn id="17" xr3:uid="{B70D4DB8-0667-4038-9599-9F2D99BCDFCE}" uniqueName="17" name="Aktywa razem" queryTableFieldId="17" dataDxfId="23"/>
    <tableColumn id="18" xr3:uid="{3C1A4C00-5AE0-411A-AA99-3705F1691BA3}" uniqueName="18" name="Kapitał własny akcjonariuszy jednostki dominującej" queryTableFieldId="18" dataDxfId="22"/>
    <tableColumn id="19" xr3:uid="{B4A4B596-657B-4E5F-8E15-374B2CB9A9A4}" uniqueName="19" name="Kapitał (fundusz) podstawowy" queryTableFieldId="19" dataDxfId="21"/>
    <tableColumn id="20" xr3:uid="{EC55E2AB-B4B7-468E-814B-B94BFD43FEEB}" uniqueName="20" name="Udziały (akcje) własne" queryTableFieldId="20" dataDxfId="20"/>
    <tableColumn id="21" xr3:uid="{740343EE-C4EB-424A-9947-9FDBFCB6E180}" uniqueName="21" name="Kapitał (fundusz) zapasowy" queryTableFieldId="21" dataDxfId="19"/>
    <tableColumn id="22" xr3:uid="{96FD2A23-4FA7-4DC8-B1F7-17063718F96C}" uniqueName="22" name="Udziały niekontrolujące" queryTableFieldId="22" dataDxfId="18"/>
    <tableColumn id="23" xr3:uid="{C9195A91-E0E0-4481-824E-5B5E2B4E1992}" uniqueName="23" name="Zobowiązania długoterminowe" queryTableFieldId="23" dataDxfId="17"/>
    <tableColumn id="24" xr3:uid="{B2BA4B6C-63BA-4BA0-A72E-AA7D9312EF14}" uniqueName="24" name="Z tytułu dostaw i usług" queryTableFieldId="24"/>
    <tableColumn id="25" xr3:uid="{7C520785-1A9F-47A5-ABDB-8E37AA6D93C9}" uniqueName="25" name="Kredyty i pożyczki" queryTableFieldId="25"/>
    <tableColumn id="26" xr3:uid="{B1A81604-89D9-4F33-B802-A5CB9E14E82B}" uniqueName="26" name="Z tytułu emisji dłużnych papierów wartościowych" queryTableFieldId="26"/>
    <tableColumn id="27" xr3:uid="{41E82DB3-65CB-45B7-9CC8-1E21AB00EEFD}" uniqueName="27" name="Zobowiązania z tytułu leasingu finansowego" queryTableFieldId="27"/>
    <tableColumn id="28" xr3:uid="{1FD3E4ED-74B1-4EFB-B592-B1434EDCA726}" uniqueName="28" name="Inne zobowiązania długoterminowe" queryTableFieldId="28"/>
    <tableColumn id="29" xr3:uid="{C6663990-5C11-4A79-984F-EFF9D6C215EE}" uniqueName="29" name="Zobowiązania krótkoterminowe" queryTableFieldId="29"/>
    <tableColumn id="30" xr3:uid="{9BA1FB72-F51C-42E7-9AAD-C1AF32814ED0}" uniqueName="30" name="Z tytułu dostaw i usług2" queryTableFieldId="30"/>
    <tableColumn id="31" xr3:uid="{F29F10EA-4B68-481F-9BF5-42E4BE3B955C}" uniqueName="31" name="Kredyty i pożyczki3" queryTableFieldId="31"/>
    <tableColumn id="32" xr3:uid="{E7E5364F-29DB-4036-86FC-EC01DE690814}" uniqueName="32" name="Z tytułu emisji dłużnych papierów wartościowych4" queryTableFieldId="32"/>
    <tableColumn id="33" xr3:uid="{11998291-922E-4C1D-A2BE-B48D3BB44E47}" uniqueName="33" name="Zobowiązania z tytułu leasingu finansowego5" queryTableFieldId="33"/>
    <tableColumn id="34" xr3:uid="{9894F9BF-6FBA-4F27-962C-E2B8DB6722D5}" uniqueName="34" name="Inne zobowiązania krótkoterminowe" queryTableFieldId="34"/>
    <tableColumn id="35" xr3:uid="{E867FDBC-D240-41F3-86FA-5C90882DC1B7}" uniqueName="35" name="Rozliczenia międzyokresowe" queryTableFieldId="35"/>
    <tableColumn id="36" xr3:uid="{59B3F739-F90A-4002-812C-4054A2AE8986}" uniqueName="36" name="Pasywa razem" queryTableFieldId="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7DC3A-0BAC-4F77-8956-2337BDEAC64A}" name="Wska_roczne8" displayName="Wska_roczne8" ref="B2:P23" totalsRowShown="0" headerRowDxfId="15">
  <autoFilter ref="B2:P23" xr:uid="{7077DC3A-0BAC-4F77-8956-2337BDEAC64A}"/>
  <tableColumns count="15">
    <tableColumn id="1" xr3:uid="{858CE139-883F-479D-B87C-3AD70DBE176F}" name="Rok" dataDxfId="14"/>
    <tableColumn id="2" xr3:uid="{9B422FCA-41C5-41E0-A565-A88798C3BE32}" name="Zadłużenie ogólne(%)" dataDxfId="13">
      <calculatedColumnFormula>(('[3]BR Bilans'!$W2+'[3]BR Bilans'!$AC2)/'[3]BR Bilans'!$Q2)*100</calculatedColumnFormula>
    </tableColumn>
    <tableColumn id="3" xr3:uid="{69D169D1-8F03-4604-B6D6-7F30341571BC}" name="Zadłużenie do kapitału własnego(%)" dataDxfId="12">
      <calculatedColumnFormula>(('[3]BR Bilans'!$W2+'[3]BR Bilans'!$AC2)/('[3]BR Bilans'!$R2+'[3]BR Bilans'!$V2))*100</calculatedColumnFormula>
    </tableColumn>
    <tableColumn id="4" xr3:uid="{7169BAC0-6D52-4C5B-B136-D2381DC761B2}" name="Pokrycie odsetek zyskiem" dataDxfId="11">
      <calculatedColumnFormula>('[3]BR RZiS'!$O2+'[3]BR RZiS'!$K2)/'[3]BR RZiS'!$K2</calculatedColumnFormula>
    </tableColumn>
    <tableColumn id="5" xr3:uid="{4EBA9050-D1AE-4EA3-B03C-B348C2261D8D}" name="Dług netto do EBITDA" dataDxfId="10">
      <calculatedColumnFormula>(('[3]BR Bilans'!$AC2+'[3]BR Bilans'!$W2)-'[3]BR Bilans'!$N2)/('[3]BR RZiS'!$I2+'[3]BR Rpp_Orlen'!$C2)</calculatedColumnFormula>
    </tableColumn>
    <tableColumn id="6" xr3:uid="{3ECB5E43-9E86-4611-AEC8-6C4373503B1E}" name="Płynności bieżącej" dataDxfId="9">
      <calculatedColumnFormula>'[3]BR Bilans'!$J2/'[3]BR Bilans'!$AC2</calculatedColumnFormula>
    </tableColumn>
    <tableColumn id="7" xr3:uid="{35F2C860-3392-4AA7-A00E-B3864FF6541A}" name="Płynności szybkiej" dataDxfId="8">
      <calculatedColumnFormula>('[3]BR Bilans'!$J2-'[3]BR Bilans'!$K2-'[3]BR Bilans'!$AI2)/'[3]BR Bilans'!$AC2</calculatedColumnFormula>
    </tableColumn>
    <tableColumn id="8" xr3:uid="{932A218F-086B-466F-A997-F0E20B787A97}" name="Płynności natychmiastowej" dataDxfId="7">
      <calculatedColumnFormula>'[3]BR Bilans'!$N2/'[3]BR Bilans'!$AC2</calculatedColumnFormula>
    </tableColumn>
    <tableColumn id="9" xr3:uid="{944B1FEF-FCFD-4880-8C26-174F47AD695E}" name="Marża operacyjna EBIT(%)" dataDxfId="6">
      <calculatedColumnFormula>(('[3]BR RZiS'!$I2/'[3]BR RZiS'!$B2))*100</calculatedColumnFormula>
    </tableColumn>
    <tableColumn id="10" xr3:uid="{C4574485-DD18-4929-A0BD-880384674D13}" name="ROA(Rentowność aktywów)(%)" dataDxfId="5">
      <calculatedColumnFormula>('[3]BR RZiS'!$Q2/'[3]BR Bilans'!$Q2)*100</calculatedColumnFormula>
    </tableColumn>
    <tableColumn id="11" xr3:uid="{4D67A985-DB64-43C1-8B69-F8FFE9A7BE77}" name="ROE (Rentowność kapitału własnego)(%)" dataDxfId="4">
      <calculatedColumnFormula>('[3]BR RZiS'!$Q2/'[3]BR Bilans'!$R2)*100</calculatedColumnFormula>
    </tableColumn>
    <tableColumn id="12" xr3:uid="{11DF57F9-119B-4A00-829E-892CED0CFC3B}" name="Marża netto(%)" dataDxfId="3">
      <calculatedColumnFormula>('[3]BR RZiS'!$Q2/'[3]BR RZiS'!$B2)*100</calculatedColumnFormula>
    </tableColumn>
    <tableColumn id="13" xr3:uid="{E92849C3-2669-47F4-92BB-BD7F7AAF620E}" name="Rotacja należności( w dniach)" dataDxfId="2">
      <calculatedColumnFormula>('[3]BR Bilans'!$L2/'[3]BR RZiS'!$B2)*365</calculatedColumnFormula>
    </tableColumn>
    <tableColumn id="14" xr3:uid="{7150E3CC-233A-4C41-99A4-5E9567C57B05}" name="Rotacja zobowiazań( w dniach)" dataDxfId="1">
      <calculatedColumnFormula>('[3]BR Bilans'!$AC2/'[3]BR RZiS'!$B2)*365</calculatedColumnFormula>
    </tableColumn>
    <tableColumn id="15" xr3:uid="{3E2FC0FD-EA34-4F39-8C09-A62556A6856C}" name="Rotacja zapasów( w dniach)" dataDxfId="0">
      <calculatedColumnFormula>('[3]BR Bilans'!$K2/'[3]BR RZiS'!$B2)*365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0635C-3DBF-4E5E-87E3-6C9CD69838F7}">
  <dimension ref="A1:P26"/>
  <sheetViews>
    <sheetView workbookViewId="0">
      <selection activeCell="E33" sqref="E33"/>
    </sheetView>
  </sheetViews>
  <sheetFormatPr defaultRowHeight="15" x14ac:dyDescent="0.25"/>
  <cols>
    <col min="3" max="3" width="19.42578125" customWidth="1"/>
    <col min="4" max="4" width="32.85546875" bestFit="1" customWidth="1"/>
    <col min="5" max="5" width="18.5703125" style="2" customWidth="1"/>
    <col min="6" max="6" width="22.140625" style="2" customWidth="1"/>
    <col min="7" max="7" width="19.7109375" style="2" customWidth="1"/>
    <col min="8" max="8" width="19.5703125" customWidth="1"/>
    <col min="9" max="9" width="27.5703125" customWidth="1"/>
    <col min="10" max="10" width="22.85546875" style="43" customWidth="1"/>
    <col min="11" max="11" width="27.7109375" style="42" customWidth="1"/>
    <col min="12" max="12" width="36.42578125" style="42" customWidth="1"/>
    <col min="13" max="13" width="34.5703125" style="43" bestFit="1" customWidth="1"/>
    <col min="14" max="14" width="29.5703125" style="2" customWidth="1"/>
    <col min="15" max="15" width="30.28515625" style="2" customWidth="1"/>
    <col min="16" max="16" width="27.5703125" style="2" customWidth="1"/>
  </cols>
  <sheetData>
    <row r="1" spans="1:16" x14ac:dyDescent="0.25">
      <c r="C1" s="44" t="s">
        <v>0</v>
      </c>
      <c r="D1" s="44"/>
      <c r="E1" s="44"/>
      <c r="F1" s="44"/>
      <c r="G1" s="44" t="s">
        <v>1</v>
      </c>
      <c r="H1" s="44"/>
      <c r="I1" s="44"/>
      <c r="J1" s="44" t="s">
        <v>2</v>
      </c>
      <c r="K1" s="44"/>
      <c r="L1" s="44"/>
      <c r="M1" s="44"/>
      <c r="N1" s="44" t="s">
        <v>3</v>
      </c>
      <c r="O1" s="44"/>
      <c r="P1" s="44"/>
    </row>
    <row r="2" spans="1:16" x14ac:dyDescent="0.25">
      <c r="A2" s="4"/>
      <c r="B2" s="4" t="s">
        <v>4</v>
      </c>
      <c r="C2" s="4" t="s">
        <v>5</v>
      </c>
      <c r="D2" s="4" t="s">
        <v>6</v>
      </c>
      <c r="E2" s="10" t="s">
        <v>7</v>
      </c>
      <c r="F2" s="10" t="s">
        <v>8</v>
      </c>
      <c r="G2" s="10" t="s">
        <v>9</v>
      </c>
      <c r="H2" s="4" t="s">
        <v>10</v>
      </c>
      <c r="I2" s="4" t="s">
        <v>11</v>
      </c>
      <c r="J2" s="11" t="s">
        <v>12</v>
      </c>
      <c r="K2" s="14" t="s">
        <v>13</v>
      </c>
      <c r="L2" s="14" t="s">
        <v>14</v>
      </c>
      <c r="M2" s="13" t="s">
        <v>15</v>
      </c>
      <c r="N2" s="10" t="s">
        <v>16</v>
      </c>
      <c r="O2" s="12" t="s">
        <v>17</v>
      </c>
      <c r="P2" s="10" t="s">
        <v>18</v>
      </c>
    </row>
    <row r="3" spans="1:16" x14ac:dyDescent="0.25">
      <c r="B3">
        <v>2004</v>
      </c>
      <c r="C3" s="1">
        <f>('[2]BR Bilans'!$W2+'[2]BR Bilans'!$AC2)/'[2]BR Bilans'!$Q2</f>
        <v>0.34683004723405836</v>
      </c>
      <c r="D3" s="5">
        <f>('[2]BR Bilans'!$W2+'[2]BR Bilans'!$AC2)/('[2]BR Bilans'!$R2+'[2]BR Bilans'!$V2)</f>
        <v>0.53099510436044539</v>
      </c>
      <c r="E3" s="2">
        <f>('[2]BR RZiS'!$O2+'[2]BR RZiS'!$K2)/'[2]BR RZiS'!$K2</f>
        <v>9.5616993300015274</v>
      </c>
      <c r="F3" s="2">
        <f>(('[2]BR Bilans'!$AC2+'[2]BR Bilans'!$W2)-'[2]BR Bilans'!$N2)/('[2]BR RZiS'!$I2+'[2]BR Rpp_Orlen'!$C2)</f>
        <v>1.6122839659235344</v>
      </c>
      <c r="G3" s="2">
        <f>'[2]BR Bilans'!$J2/'[2]BR Bilans'!$AC2</f>
        <v>1.9801922283743079</v>
      </c>
      <c r="H3" s="3">
        <f>('[2]BR Bilans'!$J2-'[2]BR Bilans'!$K2-'[2]BR Bilans'!$AI2)/'[2]BR Bilans'!$AC2</f>
        <v>1.1800367458660901</v>
      </c>
      <c r="I3" s="3">
        <f>'[2]BR Bilans'!$N2/'[2]BR Bilans'!$AC2</f>
        <v>0.18235398517666762</v>
      </c>
      <c r="J3" s="42">
        <f>('[2]BR RZiS'!$I2/'[2]BR RZiS'!$B2)</f>
        <v>8.7564827096127437E-2</v>
      </c>
      <c r="K3" s="42">
        <f>'[2]BR RZiS'!$Q2/'[2]BR Bilans'!$Q2</f>
        <v>0.12159366730595762</v>
      </c>
      <c r="L3" s="42">
        <f>'[2]BR RZiS'!$Q2/'[2]BR Bilans'!$R2</f>
        <v>0.19236441834839241</v>
      </c>
      <c r="M3" s="42">
        <f>'[2]BR RZiS'!$Q2/'[2]BR RZiS'!$B2</f>
        <v>8.2710499302194249E-2</v>
      </c>
      <c r="N3" s="2">
        <f>('[2]BR Bilans'!$L2/'[2]BR RZiS'!$B2)*365</f>
        <v>30.980423434356812</v>
      </c>
      <c r="O3" s="2">
        <f>('[2]BR Bilans'!$AC2/'[2]BR RZiS'!$B2)*365</f>
        <v>47.592648388756132</v>
      </c>
      <c r="P3" s="2">
        <f>('[2]BR Bilans'!$K2/'[2]BR RZiS'!$B2)*365</f>
        <v>38.081518535349112</v>
      </c>
    </row>
    <row r="4" spans="1:16" x14ac:dyDescent="0.25">
      <c r="B4">
        <v>2005</v>
      </c>
      <c r="C4" s="1">
        <f>('[2]BR Bilans'!$W3+'[2]BR Bilans'!$AC3)/'[2]BR Bilans'!$Q3</f>
        <v>0.42184142040828204</v>
      </c>
      <c r="D4" s="5">
        <f>('[2]BR Bilans'!$W3+'[2]BR Bilans'!$AC3)/('[2]BR Bilans'!$R3+'[2]BR Bilans'!$V3)</f>
        <v>0.72962926660394201</v>
      </c>
      <c r="E4" s="2">
        <f>('[2]BR RZiS'!$O3+'[2]BR RZiS'!$K3)/'[2]BR RZiS'!$K3</f>
        <v>11.98110142754506</v>
      </c>
      <c r="F4" s="2">
        <f>(('[2]BR Bilans'!$AC3+'[2]BR Bilans'!$W3)-'[2]BR Bilans'!$N3)/('[2]BR RZiS'!$I3+'[2]BR Rpp_Orlen'!$C3)</f>
        <v>1.9270747925995204</v>
      </c>
      <c r="G4" s="2">
        <f>'[2]BR Bilans'!$J3/'[2]BR Bilans'!$AC3</f>
        <v>1.4663337576979782</v>
      </c>
      <c r="H4" s="3">
        <f>('[2]BR Bilans'!$J3-'[2]BR Bilans'!$K3-'[2]BR Bilans'!$AI3)/'[2]BR Bilans'!$AC3</f>
        <v>0.75028582827065027</v>
      </c>
      <c r="I4" s="3">
        <f>'[2]BR Bilans'!$N3/'[2]BR Bilans'!$AC3</f>
        <v>0.13198326108124081</v>
      </c>
      <c r="J4" s="42">
        <f>('[2]BR RZiS'!$I3/'[2]BR RZiS'!$B3)</f>
        <v>0.12012207262811032</v>
      </c>
      <c r="K4" s="42">
        <f>'[2]BR RZiS'!$Q3/'[2]BR Bilans'!$Q3</f>
        <v>0.13883764882921848</v>
      </c>
      <c r="L4" s="42">
        <f>'[2]BR RZiS'!$Q3/'[2]BR Bilans'!$R3</f>
        <v>0.2781802629188373</v>
      </c>
      <c r="M4" s="42">
        <f>'[2]BR RZiS'!$Q3/'[2]BR RZiS'!$B3</f>
        <v>0.11259944488560299</v>
      </c>
      <c r="N4" s="2">
        <f>('[2]BR Bilans'!$L3/'[2]BR RZiS'!$B3)*365</f>
        <v>42.77746924870619</v>
      </c>
      <c r="O4" s="2">
        <f>('[2]BR Bilans'!$AC3/'[2]BR RZiS'!$B3)*365</f>
        <v>75.656889982771062</v>
      </c>
      <c r="P4" s="2">
        <f>('[2]BR Bilans'!$K3/'[2]BR RZiS'!$B3)*365</f>
        <v>54.173959419074372</v>
      </c>
    </row>
    <row r="5" spans="1:16" x14ac:dyDescent="0.25">
      <c r="B5">
        <v>2006</v>
      </c>
      <c r="C5" s="1">
        <f>('[2]BR Bilans'!$W4+'[2]BR Bilans'!$AC4)/'[2]BR Bilans'!$Q4</f>
        <v>0.52481289583030777</v>
      </c>
      <c r="D5" s="5">
        <f>('[2]BR Bilans'!$W4+'[2]BR Bilans'!$AC4)/('[2]BR Bilans'!$R4+'[2]BR Bilans'!$V4)</f>
        <v>1.1044342138605132</v>
      </c>
      <c r="E5" s="2">
        <f>('[2]BR RZiS'!$O4+'[2]BR RZiS'!$K4)/'[2]BR RZiS'!$K4</f>
        <v>5.0685634981918142</v>
      </c>
      <c r="F5" s="2">
        <f>(('[2]BR Bilans'!$AC4+'[2]BR Bilans'!$W4)-'[2]BR Bilans'!$N4)/('[2]BR RZiS'!$I4+'[2]BR Rpp_Orlen'!$C4)</f>
        <v>4.5862157808746451</v>
      </c>
      <c r="G5" s="2">
        <f>'[2]BR Bilans'!$J4/'[2]BR Bilans'!$AC4</f>
        <v>1.193563303741846</v>
      </c>
      <c r="H5" s="3">
        <f>('[2]BR Bilans'!$J4-'[2]BR Bilans'!$K4-'[2]BR Bilans'!$AI4)/'[2]BR Bilans'!$AC4</f>
        <v>0.69627415031396567</v>
      </c>
      <c r="I5" s="3">
        <f>'[2]BR Bilans'!$N4/'[2]BR Bilans'!$AC4</f>
        <v>0.15803604398275134</v>
      </c>
      <c r="J5" s="42">
        <f>('[2]BR RZiS'!$I4/'[2]BR RZiS'!$B4)</f>
        <v>4.8737355791699084E-2</v>
      </c>
      <c r="K5" s="42">
        <f>'[2]BR RZiS'!$Q4/'[2]BR Bilans'!$Q4</f>
        <v>4.5359743494606808E-2</v>
      </c>
      <c r="L5" s="42">
        <f>'[2]BR RZiS'!$Q4/'[2]BR Bilans'!$R4</f>
        <v>0.10928887365828972</v>
      </c>
      <c r="M5" s="42">
        <f>'[2]BR RZiS'!$Q4/'[2]BR RZiS'!$B4</f>
        <v>3.8969312327160048E-2</v>
      </c>
      <c r="N5" s="2">
        <f>('[2]BR Bilans'!$L4/'[2]BR RZiS'!$B4)*365</f>
        <v>45.199116695990774</v>
      </c>
      <c r="O5" s="2">
        <f>('[2]BR Bilans'!$AC4/'[2]BR RZiS'!$B4)*365</f>
        <v>102.72170835487394</v>
      </c>
      <c r="P5" s="2">
        <f>('[2]BR Bilans'!$K4/'[2]BR RZiS'!$B4)*365</f>
        <v>51.082391386460884</v>
      </c>
    </row>
    <row r="6" spans="1:16" x14ac:dyDescent="0.25">
      <c r="B6">
        <v>2007</v>
      </c>
      <c r="C6" s="1">
        <f>('[2]BR Bilans'!$W5+'[2]BR Bilans'!$AC5)/'[2]BR Bilans'!$Q5</f>
        <v>0.51038228134609975</v>
      </c>
      <c r="D6" s="5">
        <f>('[2]BR Bilans'!$W5+'[2]BR Bilans'!$AC5)/('[2]BR Bilans'!$R5+'[2]BR Bilans'!$V5)</f>
        <v>1.0424097451973087</v>
      </c>
      <c r="E6" s="2">
        <f>('[2]BR RZiS'!$O5+'[2]BR RZiS'!$K5)/'[2]BR RZiS'!$K5</f>
        <v>3.8670092530702331</v>
      </c>
      <c r="F6" s="2">
        <f>(('[2]BR Bilans'!$AC5+'[2]BR Bilans'!$W5)-'[2]BR Bilans'!$N5)/('[2]BR RZiS'!$I5+'[2]BR Rpp_Orlen'!$C5)</f>
        <v>4.3754713964695284</v>
      </c>
      <c r="G6" s="2">
        <f>'[2]BR Bilans'!$J5/'[2]BR Bilans'!$AC5</f>
        <v>1.5569589754139974</v>
      </c>
      <c r="H6" s="3">
        <f>('[2]BR Bilans'!$J5-'[2]BR Bilans'!$K5-'[2]BR Bilans'!$AI5)/'[2]BR Bilans'!$AC5</f>
        <v>0.72363717869034638</v>
      </c>
      <c r="I6" s="3">
        <f>'[2]BR Bilans'!$N5/'[2]BR Bilans'!$AC5</f>
        <v>0.12044960137596782</v>
      </c>
      <c r="J6" s="42">
        <f>('[2]BR RZiS'!$I5/'[2]BR RZiS'!$B5)</f>
        <v>4.0817686797935127E-2</v>
      </c>
      <c r="K6" s="42">
        <f>'[2]BR RZiS'!$Q5/'[2]BR Bilans'!$Q5</f>
        <v>5.3802039245968117E-2</v>
      </c>
      <c r="L6" s="42">
        <f>'[2]BR RZiS'!$Q5/'[2]BR Bilans'!$R5</f>
        <v>0.12442359258071159</v>
      </c>
      <c r="M6" s="42">
        <f>'[2]BR RZiS'!$Q5/'[2]BR RZiS'!$B5</f>
        <v>3.8882426927739057E-2</v>
      </c>
      <c r="N6" s="2">
        <f>('[2]BR Bilans'!$L5/'[2]BR RZiS'!$B5)*365</f>
        <v>40.05048862505771</v>
      </c>
      <c r="O6" s="2">
        <f>('[2]BR Bilans'!$AC5/'[2]BR RZiS'!$B5)*365</f>
        <v>71.16945754049469</v>
      </c>
      <c r="P6" s="2">
        <f>('[2]BR Bilans'!$K5/'[2]BR RZiS'!$B5)*365</f>
        <v>59.307060229492635</v>
      </c>
    </row>
    <row r="7" spans="1:16" x14ac:dyDescent="0.25">
      <c r="B7">
        <v>2008</v>
      </c>
      <c r="C7" s="1">
        <f>('[2]BR Bilans'!$W6+'[2]BR Bilans'!$AC6)/'[2]BR Bilans'!$Q6</f>
        <v>0.56293093777108405</v>
      </c>
      <c r="D7" s="5">
        <f>('[2]BR Bilans'!$W6+'[2]BR Bilans'!$AC6)/('[2]BR Bilans'!$R6+'[2]BR Bilans'!$V6)</f>
        <v>1.287967935548473</v>
      </c>
      <c r="E7" s="2">
        <f>('[2]BR RZiS'!$O6+'[2]BR RZiS'!$K6)/'[2]BR RZiS'!$K6</f>
        <v>-0.27789300845878917</v>
      </c>
      <c r="F7" s="2">
        <f>(('[2]BR Bilans'!$AC6+'[2]BR Bilans'!$W6)-'[2]BR Bilans'!$N6)/('[2]BR RZiS'!$I6+'[2]BR Rpp_Orlen'!$C6)</f>
        <v>28.263687967380619</v>
      </c>
      <c r="G7" s="2">
        <f>'[2]BR Bilans'!$J6/'[2]BR Bilans'!$AC6</f>
        <v>0.81132301005161644</v>
      </c>
      <c r="H7" s="3">
        <f>('[2]BR Bilans'!$J6-'[2]BR Bilans'!$K6-'[2]BR Bilans'!$AI6)/'[2]BR Bilans'!$AC6</f>
        <v>0.39458397954142438</v>
      </c>
      <c r="I7" s="3">
        <f>'[2]BR Bilans'!$N6/'[2]BR Bilans'!$AC6</f>
        <v>6.1633591128809478E-2</v>
      </c>
      <c r="J7" s="42">
        <f>('[2]BR RZiS'!$I6/'[2]BR RZiS'!$B6)</f>
        <v>-2.0158645470266908E-2</v>
      </c>
      <c r="K7" s="42">
        <f>'[2]BR RZiS'!$Q6/'[2]BR Bilans'!$Q6</f>
        <v>-5.3785751158842592E-2</v>
      </c>
      <c r="L7" s="42">
        <f>'[2]BR RZiS'!$Q6/'[2]BR Bilans'!$R6</f>
        <v>-0.14184096404155797</v>
      </c>
      <c r="M7" s="42">
        <f>'[2]BR RZiS'!$Q6/'[2]BR RZiS'!$B6</f>
        <v>-3.1767391559498717E-2</v>
      </c>
      <c r="N7" s="2">
        <f>('[2]BR Bilans'!$L6/'[2]BR RZiS'!$B6)*365</f>
        <v>30.968661487702203</v>
      </c>
      <c r="O7" s="2">
        <f>('[2]BR Bilans'!$AC6/'[2]BR RZiS'!$B6)*365</f>
        <v>100.08929536297795</v>
      </c>
      <c r="P7" s="2">
        <f>('[2]BR Bilans'!$K6/'[2]BR RZiS'!$B6)*365</f>
        <v>41.711115914015686</v>
      </c>
    </row>
    <row r="8" spans="1:16" x14ac:dyDescent="0.25">
      <c r="B8">
        <v>2009</v>
      </c>
      <c r="C8" s="1">
        <f>('[2]BR Bilans'!$W7+'[2]BR Bilans'!$AC7)/'[2]BR Bilans'!$Q7</f>
        <v>0.55779049777267675</v>
      </c>
      <c r="D8" s="5">
        <f>('[2]BR Bilans'!$W7+'[2]BR Bilans'!$AC7)/('[2]BR Bilans'!$R7+'[2]BR Bilans'!$V7)</f>
        <v>1.2613715783202182</v>
      </c>
      <c r="E8" s="2">
        <f>('[2]BR RZiS'!$O7+'[2]BR RZiS'!$K7)/'[2]BR RZiS'!$K7</f>
        <v>2.4081601135401742</v>
      </c>
      <c r="F8" s="2">
        <f>(('[2]BR Bilans'!$AC7+'[2]BR Bilans'!$W7)-'[2]BR Bilans'!$N7)/('[2]BR RZiS'!$I7+'[2]BR Rpp_Orlen'!$C7)</f>
        <v>6.6689424190975473</v>
      </c>
      <c r="G8" s="2">
        <f>'[2]BR Bilans'!$J7/'[2]BR Bilans'!$AC7</f>
        <v>1.3726310462937141</v>
      </c>
      <c r="H8" s="3">
        <f>('[2]BR Bilans'!$J7-'[2]BR Bilans'!$K7-'[2]BR Bilans'!$AI7)/'[2]BR Bilans'!$AC7</f>
        <v>0.62250941478717026</v>
      </c>
      <c r="I8" s="3">
        <f>'[2]BR Bilans'!$N7/'[2]BR Bilans'!$AC7</f>
        <v>0.20773693633826726</v>
      </c>
      <c r="J8" s="42">
        <f>('[2]BR RZiS'!$I7/'[2]BR RZiS'!$B7)</f>
        <v>1.6150573570629722E-2</v>
      </c>
      <c r="K8" s="42">
        <f>'[2]BR RZiS'!$Q7/'[2]BR Bilans'!$Q7</f>
        <v>2.6486415131008412E-2</v>
      </c>
      <c r="L8" s="42">
        <f>'[2]BR RZiS'!$Q7/'[2]BR Bilans'!$R7</f>
        <v>6.8293603554971369E-2</v>
      </c>
      <c r="M8" s="42">
        <f>'[2]BR RZiS'!$Q7/'[2]BR RZiS'!$B7</f>
        <v>1.9140372032206459E-2</v>
      </c>
      <c r="N8" s="2">
        <f>('[2]BR Bilans'!$L7/'[2]BR RZiS'!$B7)*365</f>
        <v>29.292844819933581</v>
      </c>
      <c r="O8" s="2">
        <f>('[2]BR Bilans'!$AC7/'[2]BR RZiS'!$B7)*365</f>
        <v>76.073108301894393</v>
      </c>
      <c r="P8" s="2">
        <f>('[2]BR Bilans'!$K7/'[2]BR RZiS'!$B7)*365</f>
        <v>57.064084113191043</v>
      </c>
    </row>
    <row r="9" spans="1:16" x14ac:dyDescent="0.25">
      <c r="B9">
        <v>2010</v>
      </c>
      <c r="C9" s="1">
        <f>('[2]BR Bilans'!$W8+'[2]BR Bilans'!$AC8)/'[2]BR Bilans'!$Q8</f>
        <v>0.52609869850497148</v>
      </c>
      <c r="D9" s="5">
        <f>('[2]BR Bilans'!$W8+'[2]BR Bilans'!$AC8)/('[2]BR Bilans'!$R8+'[2]BR Bilans'!$V8)</f>
        <v>1.1101440254442738</v>
      </c>
      <c r="E9" s="2">
        <f>('[2]BR RZiS'!$O8+'[2]BR RZiS'!$K8)/'[2]BR RZiS'!$K8</f>
        <v>5.0867556386173405</v>
      </c>
      <c r="F9" s="2">
        <f>(('[2]BR Bilans'!$AC8+'[2]BR Bilans'!$W8)-'[2]BR Bilans'!$N8)/('[2]BR RZiS'!$I8+'[2]BR Rpp_Orlen'!$C8)</f>
        <v>4.3439813856395464</v>
      </c>
      <c r="G9" s="2">
        <f>'[2]BR Bilans'!$J8/'[2]BR Bilans'!$AC8</f>
        <v>1.2756400729024506</v>
      </c>
      <c r="H9" s="3">
        <f>('[2]BR Bilans'!$J8-'[2]BR Bilans'!$K8-'[2]BR Bilans'!$AI8)/'[2]BR Bilans'!$AC8</f>
        <v>0.5802290213667326</v>
      </c>
      <c r="I9" s="3">
        <f>'[2]BR Bilans'!$N8/'[2]BR Bilans'!$AC8</f>
        <v>0.17366985720581571</v>
      </c>
      <c r="J9" s="42">
        <f>('[2]BR RZiS'!$I8/'[2]BR RZiS'!$B8)</f>
        <v>3.7375762788256613E-2</v>
      </c>
      <c r="K9" s="42">
        <f>'[2]BR RZiS'!$Q8/'[2]BR Bilans'!$Q8</f>
        <v>4.8005415153985376E-2</v>
      </c>
      <c r="L9" s="42">
        <f>'[2]BR RZiS'!$Q8/'[2]BR Bilans'!$R8</f>
        <v>0.1135321823097514</v>
      </c>
      <c r="M9" s="42">
        <f>'[2]BR RZiS'!$Q8/'[2]BR RZiS'!$B8</f>
        <v>2.9390095437044673E-2</v>
      </c>
      <c r="N9" s="2">
        <f>('[2]BR Bilans'!$L8/'[2]BR RZiS'!$B8)*365</f>
        <v>27.685259973041422</v>
      </c>
      <c r="O9" s="2">
        <f>('[2]BR Bilans'!$AC8/'[2]BR RZiS'!$B8)*365</f>
        <v>70.957560610600211</v>
      </c>
      <c r="P9" s="2">
        <f>('[2]BR Bilans'!$K8/'[2]BR RZiS'!$B8)*365</f>
        <v>49.344671838626951</v>
      </c>
    </row>
    <row r="10" spans="1:16" x14ac:dyDescent="0.25">
      <c r="B10">
        <v>2011</v>
      </c>
      <c r="C10" s="1">
        <f>('[2]BR Bilans'!$W9+'[2]BR Bilans'!$AC9)/'[2]BR Bilans'!$Q9</f>
        <v>0.5437083500605927</v>
      </c>
      <c r="D10" s="5">
        <f>('[2]BR Bilans'!$W9+'[2]BR Bilans'!$AC9)/('[2]BR Bilans'!$R9+'[2]BR Bilans'!$V9)</f>
        <v>1.1915807579051552</v>
      </c>
      <c r="E10" s="2">
        <f>('[2]BR RZiS'!$O9+'[2]BR RZiS'!$K9)/'[2]BR RZiS'!$K9</f>
        <v>2.2445489094698363</v>
      </c>
      <c r="F10" s="2">
        <f>(('[2]BR Bilans'!$AC9+'[2]BR Bilans'!$W9)-'[2]BR Bilans'!$N9)/('[2]BR RZiS'!$I9+'[2]BR Rpp_Orlen'!$C9)</f>
        <v>5.9651650091534316</v>
      </c>
      <c r="G10" s="2">
        <f>'[2]BR Bilans'!$J9/'[2]BR Bilans'!$AC9</f>
        <v>1.5208525622813502</v>
      </c>
      <c r="H10" s="3">
        <f>('[2]BR Bilans'!$J9-'[2]BR Bilans'!$K9-'[2]BR Bilans'!$AI9)/'[2]BR Bilans'!$AC9</f>
        <v>0.69832759066326489</v>
      </c>
      <c r="I10" s="3">
        <f>'[2]BR Bilans'!$N9/'[2]BR Bilans'!$AC9</f>
        <v>0.27301380476745507</v>
      </c>
      <c r="J10" s="42">
        <f>('[2]BR RZiS'!$I9/'[2]BR RZiS'!$B9)</f>
        <v>1.9317683625694443E-2</v>
      </c>
      <c r="K10" s="42">
        <f>'[2]BR RZiS'!$Q9/'[2]BR Bilans'!$Q9</f>
        <v>3.4308739854971806E-2</v>
      </c>
      <c r="L10" s="42">
        <f>'[2]BR RZiS'!$Q9/'[2]BR Bilans'!$R9</f>
        <v>8.2131802556418859E-2</v>
      </c>
      <c r="M10" s="42">
        <f>'[2]BR RZiS'!$Q9/'[2]BR RZiS'!$B9</f>
        <v>1.8836543857756204E-2</v>
      </c>
      <c r="N10" s="2">
        <f>('[2]BR Bilans'!$L9/'[2]BR RZiS'!$B9)*365</f>
        <v>27.653815716280153</v>
      </c>
      <c r="O10" s="2">
        <f>('[2]BR Bilans'!$AC9/'[2]BR RZiS'!$B9)*365</f>
        <v>67.60270762154596</v>
      </c>
      <c r="P10" s="2">
        <f>('[2]BR Bilans'!$K9/'[2]BR RZiS'!$B9)*365</f>
        <v>55.604915167717813</v>
      </c>
    </row>
    <row r="11" spans="1:16" x14ac:dyDescent="0.25">
      <c r="B11">
        <v>2012</v>
      </c>
      <c r="C11" s="1">
        <f>('[2]BR Bilans'!$W10+'[2]BR Bilans'!$AC10)/'[2]BR Bilans'!$Q10</f>
        <v>0.46216200861929085</v>
      </c>
      <c r="D11" s="5">
        <f>('[2]BR Bilans'!$W10+'[2]BR Bilans'!$AC10)/('[2]BR Bilans'!$R10+'[2]BR Bilans'!$V10)</f>
        <v>0.85929595161705308</v>
      </c>
      <c r="E11" s="2">
        <f>('[2]BR RZiS'!$O10+'[2]BR RZiS'!$K10)/'[2]BR RZiS'!$K10</f>
        <v>3.6746570107192431</v>
      </c>
      <c r="F11" s="2">
        <f>(('[2]BR Bilans'!$AC10+'[2]BR Bilans'!$W10)-'[2]BR Bilans'!$N10)/('[2]BR RZiS'!$I10+'[2]BR Rpp_Orlen'!$C10)</f>
        <v>5.1610591965023636</v>
      </c>
      <c r="G11" s="2">
        <f>'[2]BR Bilans'!$J10/'[2]BR Bilans'!$AC10</f>
        <v>1.706858578559582</v>
      </c>
      <c r="H11" s="3">
        <f>('[2]BR Bilans'!$J10-'[2]BR Bilans'!$K10-'[2]BR Bilans'!$AI10)/'[2]BR Bilans'!$AC10</f>
        <v>0.71454283712038558</v>
      </c>
      <c r="I11" s="3">
        <f>'[2]BR Bilans'!$N10/'[2]BR Bilans'!$AC10</f>
        <v>0.14618779346385199</v>
      </c>
      <c r="J11" s="42">
        <f>('[2]BR RZiS'!$I10/'[2]BR RZiS'!$B10)</f>
        <v>1.6855494371221687E-2</v>
      </c>
      <c r="K11" s="42">
        <f>'[2]BR RZiS'!$Q10/'[2]BR Bilans'!$Q10</f>
        <v>4.1230435878016627E-2</v>
      </c>
      <c r="L11" s="42">
        <f>'[2]BR RZiS'!$Q10/'[2]BR Bilans'!$R10</f>
        <v>8.1950778926860562E-2</v>
      </c>
      <c r="M11" s="42">
        <f>'[2]BR RZiS'!$Q10/'[2]BR RZiS'!$B10</f>
        <v>1.8067959988859426E-2</v>
      </c>
      <c r="N11" s="2">
        <f>('[2]BR Bilans'!$L10/'[2]BR RZiS'!$B10)*365</f>
        <v>24.813987454783057</v>
      </c>
      <c r="O11" s="2">
        <f>('[2]BR Bilans'!$AC10/'[2]BR RZiS'!$B10)*365</f>
        <v>45.973265832122898</v>
      </c>
      <c r="P11" s="2">
        <f>('[2]BR Bilans'!$K10/'[2]BR RZiS'!$B10)*365</f>
        <v>45.619995370584313</v>
      </c>
    </row>
    <row r="12" spans="1:16" x14ac:dyDescent="0.25">
      <c r="B12">
        <v>2013</v>
      </c>
      <c r="C12" s="1">
        <f>('[2]BR Bilans'!$W11+'[2]BR Bilans'!$AC11)/'[2]BR Bilans'!$Q11</f>
        <v>0.46348730331827387</v>
      </c>
      <c r="D12" s="5">
        <f>('[2]BR Bilans'!$W11+'[2]BR Bilans'!$AC11)/('[2]BR Bilans'!$R11+'[2]BR Bilans'!$V11)</f>
        <v>0.86388878806576896</v>
      </c>
      <c r="E12" s="2">
        <f>('[2]BR RZiS'!$O11+'[2]BR RZiS'!$K11)/'[2]BR RZiS'!$K11</f>
        <v>1.2834394904458599</v>
      </c>
      <c r="F12" s="2">
        <f>(('[2]BR Bilans'!$AC11+'[2]BR Bilans'!$W11)-'[2]BR Bilans'!$N11)/('[2]BR RZiS'!$I11+'[2]BR Rpp_Orlen'!$C11)</f>
        <v>8.3531761885737108</v>
      </c>
      <c r="G12" s="2">
        <f>'[2]BR Bilans'!$J11/'[2]BR Bilans'!$AC11</f>
        <v>1.5321215919774365</v>
      </c>
      <c r="H12" s="3">
        <f>('[2]BR Bilans'!$J11-'[2]BR Bilans'!$K11-'[2]BR Bilans'!$AI11)/'[2]BR Bilans'!$AC11</f>
        <v>0.67038545910372926</v>
      </c>
      <c r="I12" s="3">
        <f>'[2]BR Bilans'!$N11/'[2]BR Bilans'!$AC11</f>
        <v>0.18132246944531494</v>
      </c>
      <c r="J12" s="42">
        <f>('[2]BR RZiS'!$I11/'[2]BR RZiS'!$B11)</f>
        <v>2.9248241153065797E-3</v>
      </c>
      <c r="K12" s="42">
        <f>'[2]BR RZiS'!$Q11/'[2]BR Bilans'!$Q11</f>
        <v>1.7526094407228541E-3</v>
      </c>
      <c r="L12" s="42">
        <f>'[2]BR RZiS'!$Q11/'[2]BR Bilans'!$R11</f>
        <v>3.4684754123631878E-3</v>
      </c>
      <c r="M12" s="42">
        <f>'[2]BR RZiS'!$Q11/'[2]BR RZiS'!$B11</f>
        <v>7.9049300413691344E-4</v>
      </c>
      <c r="N12" s="2">
        <f>('[2]BR Bilans'!$L11/'[2]BR RZiS'!$B11)*365</f>
        <v>25.09248768148402</v>
      </c>
      <c r="O12" s="2">
        <f>('[2]BR Bilans'!$AC11/'[2]BR RZiS'!$B11)*365</f>
        <v>51.14994773962917</v>
      </c>
      <c r="P12" s="2">
        <f>('[2]BR Bilans'!$K11/'[2]BR RZiS'!$B11)*365</f>
        <v>44.077758161840265</v>
      </c>
    </row>
    <row r="13" spans="1:16" x14ac:dyDescent="0.25">
      <c r="B13">
        <v>2014</v>
      </c>
      <c r="C13" s="1">
        <f>('[2]BR Bilans'!$W12+'[2]BR Bilans'!$AC12)/'[2]BR Bilans'!$Q12</f>
        <v>0.56370251471375066</v>
      </c>
      <c r="D13" s="5">
        <f>('[2]BR Bilans'!$W12+'[2]BR Bilans'!$AC12)/('[2]BR Bilans'!$R12+'[2]BR Bilans'!$V12)</f>
        <v>1.2920141273422938</v>
      </c>
      <c r="E13" s="2">
        <f>('[2]BR RZiS'!$O12+'[2]BR RZiS'!$K12)/'[2]BR RZiS'!$K12</f>
        <v>-2.3065113816834302</v>
      </c>
      <c r="F13" s="2">
        <f>(('[2]BR Bilans'!$AC12+'[2]BR Bilans'!$W12)-'[2]BR Bilans'!$N12)/('[2]BR RZiS'!$I12+'[2]BR Rpp_Orlen'!$C12)</f>
        <v>-8.2360294117647062</v>
      </c>
      <c r="G13" s="2">
        <f>'[2]BR Bilans'!$J12/'[2]BR Bilans'!$AC12</f>
        <v>1.5500926321789938</v>
      </c>
      <c r="H13" s="3">
        <f>('[2]BR Bilans'!$J12-'[2]BR Bilans'!$K12-'[2]BR Bilans'!$AI12)/'[2]BR Bilans'!$AC12</f>
        <v>0.84972210346301835</v>
      </c>
      <c r="I13" s="3">
        <f>'[2]BR Bilans'!$N12/'[2]BR Bilans'!$AC12</f>
        <v>0.2805329913068263</v>
      </c>
      <c r="J13" s="42">
        <f>('[2]BR RZiS'!$I12/'[2]BR RZiS'!$B12)</f>
        <v>-4.4097274224951327E-2</v>
      </c>
      <c r="K13" s="42">
        <f>'[2]BR RZiS'!$Q12/'[2]BR Bilans'!$Q12</f>
        <v>-0.12472980203317283</v>
      </c>
      <c r="L13" s="42">
        <f>'[2]BR RZiS'!$Q12/'[2]BR Bilans'!$R12</f>
        <v>-0.31047893026477014</v>
      </c>
      <c r="M13" s="42">
        <f>'[2]BR RZiS'!$Q12/'[2]BR RZiS'!$B12</f>
        <v>-5.4552942938445412E-2</v>
      </c>
      <c r="N13" s="2">
        <f>('[2]BR Bilans'!$L12/'[2]BR RZiS'!$B12)*365</f>
        <v>24.230380410363935</v>
      </c>
      <c r="O13" s="2">
        <f>('[2]BR Bilans'!$AC12/'[2]BR RZiS'!$B12)*365</f>
        <v>47.948273925415606</v>
      </c>
      <c r="P13" s="2">
        <f>('[2]BR Bilans'!$K12/'[2]BR RZiS'!$B12)*365</f>
        <v>33.581557960161746</v>
      </c>
    </row>
    <row r="14" spans="1:16" x14ac:dyDescent="0.25">
      <c r="B14">
        <v>2015</v>
      </c>
      <c r="C14" s="1">
        <f>('[2]BR Bilans'!$W13+'[2]BR Bilans'!$AC13)/'[2]BR Bilans'!$Q13</f>
        <v>0.49635415584685377</v>
      </c>
      <c r="D14" s="5">
        <f>('[2]BR Bilans'!$W13+'[2]BR Bilans'!$AC13)/('[2]BR Bilans'!$R13+'[2]BR Bilans'!$V13)</f>
        <v>0.98552219105758121</v>
      </c>
      <c r="E14" s="2">
        <f>('[2]BR RZiS'!$O13+'[2]BR RZiS'!$K13)/'[2]BR RZiS'!$K13</f>
        <v>4.583333333333333</v>
      </c>
      <c r="F14" s="2">
        <f>(('[2]BR Bilans'!$AC13+'[2]BR Bilans'!$W13)-'[2]BR Bilans'!$N13)/('[2]BR RZiS'!$I13+'[2]BR Rpp_Orlen'!$C13)</f>
        <v>3.4554931836407379</v>
      </c>
      <c r="G14" s="2">
        <f>'[2]BR Bilans'!$J13/'[2]BR Bilans'!$AC13</f>
        <v>1.520196107127177</v>
      </c>
      <c r="H14" s="3">
        <f>('[2]BR Bilans'!$J13-'[2]BR Bilans'!$K13-'[2]BR Bilans'!$AI13)/'[2]BR Bilans'!$AC13</f>
        <v>0.73613346992536222</v>
      </c>
      <c r="I14" s="3">
        <f>'[2]BR Bilans'!$N13/'[2]BR Bilans'!$AC13</f>
        <v>0.17181325918337481</v>
      </c>
      <c r="J14" s="42">
        <f>('[2]BR RZiS'!$I13/'[2]BR RZiS'!$B13)</f>
        <v>4.913059228400652E-2</v>
      </c>
      <c r="K14" s="42">
        <f>'[2]BR RZiS'!$Q13/'[2]BR Bilans'!$Q13</f>
        <v>6.716247377277354E-2</v>
      </c>
      <c r="L14" s="42">
        <f>'[2]BR RZiS'!$Q13/'[2]BR Bilans'!$R13</f>
        <v>0.14580796464168133</v>
      </c>
      <c r="M14" s="42">
        <f>'[2]BR RZiS'!$Q13/'[2]BR RZiS'!$B13</f>
        <v>3.6598895127694257E-2</v>
      </c>
      <c r="N14" s="2">
        <f>('[2]BR Bilans'!$L13/'[2]BR RZiS'!$B13)*365</f>
        <v>27.440284821590293</v>
      </c>
      <c r="O14" s="2">
        <f>('[2]BR Bilans'!$AC13/'[2]BR RZiS'!$B13)*365</f>
        <v>56.467238724868686</v>
      </c>
      <c r="P14" s="2">
        <f>('[2]BR Bilans'!$K13/'[2]BR RZiS'!$B13)*365</f>
        <v>44.273852110124977</v>
      </c>
    </row>
    <row r="15" spans="1:16" x14ac:dyDescent="0.25">
      <c r="B15">
        <v>2016</v>
      </c>
      <c r="C15" s="1">
        <f>('[2]BR Bilans'!$W14+'[2]BR Bilans'!$AC14)/'[2]BR Bilans'!$Q14</f>
        <v>0.47288468114976873</v>
      </c>
      <c r="D15" s="5">
        <f>('[2]BR Bilans'!$W14+'[2]BR Bilans'!$AC14)/('[2]BR Bilans'!$R14+'[2]BR Bilans'!$V14)</f>
        <v>0.89711807689681078</v>
      </c>
      <c r="E15" s="2">
        <f>('[2]BR RZiS'!$O14+'[2]BR RZiS'!$K14)/'[2]BR RZiS'!$K14</f>
        <v>8.712206047032474</v>
      </c>
      <c r="F15" s="2">
        <f>(('[2]BR Bilans'!$AC14+'[2]BR Bilans'!$W14)-'[2]BR Bilans'!$N14)/('[2]BR RZiS'!$I14+'[2]BR Rpp_Orlen'!$C14)</f>
        <v>2.1988176726820163</v>
      </c>
      <c r="G15" s="2">
        <f>'[2]BR Bilans'!$J14/'[2]BR Bilans'!$AC14</f>
        <v>1.5184405270441008</v>
      </c>
      <c r="H15" s="3">
        <f>('[2]BR Bilans'!$J14-'[2]BR Bilans'!$K14-'[2]BR Bilans'!$AI14)/'[2]BR Bilans'!$AC14</f>
        <v>0.8456771554058119</v>
      </c>
      <c r="I15" s="3">
        <f>'[2]BR Bilans'!$N14/'[2]BR Bilans'!$AC14</f>
        <v>0.305156127790145</v>
      </c>
      <c r="J15" s="42">
        <f>('[2]BR RZiS'!$I14/'[2]BR RZiS'!$B14)</f>
        <v>9.4679019018767366E-2</v>
      </c>
      <c r="K15" s="42">
        <f>'[2]BR RZiS'!$Q14/'[2]BR Bilans'!$Q14</f>
        <v>0.10331359455713746</v>
      </c>
      <c r="L15" s="42">
        <f>'[2]BR RZiS'!$Q14/'[2]BR Bilans'!$R14</f>
        <v>0.21446719473920192</v>
      </c>
      <c r="M15" s="42">
        <f>'[2]BR RZiS'!$Q14/'[2]BR RZiS'!$B14</f>
        <v>7.2153155757796683E-2</v>
      </c>
      <c r="N15" s="2">
        <f>('[2]BR Bilans'!$L14/'[2]BR RZiS'!$B14)*365</f>
        <v>39.797493494902767</v>
      </c>
      <c r="O15" s="2">
        <f>('[2]BR Bilans'!$AC14/'[2]BR RZiS'!$B14)*365</f>
        <v>76.259411964350804</v>
      </c>
      <c r="P15" s="2">
        <f>('[2]BR Bilans'!$K14/'[2]BR RZiS'!$B14)*365</f>
        <v>51.304539112289923</v>
      </c>
    </row>
    <row r="16" spans="1:16" x14ac:dyDescent="0.25">
      <c r="B16">
        <v>2017</v>
      </c>
      <c r="C16" s="1">
        <f>('[2]BR Bilans'!$W15+'[2]BR Bilans'!$AC15)/'[2]BR Bilans'!$Q15</f>
        <v>0.41957338784122378</v>
      </c>
      <c r="D16" s="5">
        <f>('[2]BR Bilans'!$W15+'[2]BR Bilans'!$AC15)/('[2]BR Bilans'!$R15+'[2]BR Bilans'!$V15)</f>
        <v>0.72287069381727298</v>
      </c>
      <c r="E16" s="2">
        <f>('[2]BR RZiS'!$O15+'[2]BR RZiS'!$K15)/'[2]BR RZiS'!$K15</f>
        <v>6.1276470588235297</v>
      </c>
      <c r="F16" s="2">
        <f>(('[2]BR Bilans'!$AC15+'[2]BR Bilans'!$W15)-'[2]BR Bilans'!$N15)/('[2]BR RZiS'!$I15+'[2]BR Rpp_Orlen'!$C15)</f>
        <v>1.7339772522115906</v>
      </c>
      <c r="G16" s="2">
        <f>'[2]BR Bilans'!$J15/'[2]BR Bilans'!$AC15</f>
        <v>1.7655963862776218</v>
      </c>
      <c r="H16" s="3">
        <f>('[2]BR Bilans'!$J15-'[2]BR Bilans'!$K15-'[2]BR Bilans'!$AI15)/'[2]BR Bilans'!$AC15</f>
        <v>1.0062263459895007</v>
      </c>
      <c r="I16" s="3">
        <f>'[2]BR Bilans'!$N15/'[2]BR Bilans'!$AC15</f>
        <v>0.38115004272982544</v>
      </c>
      <c r="J16" s="42">
        <f>('[2]BR RZiS'!$I15/'[2]BR RZiS'!$B15)</f>
        <v>9.077849083511598E-2</v>
      </c>
      <c r="K16" s="42">
        <f>'[2]BR RZiS'!$Q15/'[2]BR Bilans'!$Q15</f>
        <v>0.11824146116312804</v>
      </c>
      <c r="L16" s="42">
        <f>'[2]BR RZiS'!$Q15/'[2]BR Bilans'!$R15</f>
        <v>0.22278473149672329</v>
      </c>
      <c r="M16" s="42">
        <f>'[2]BR RZiS'!$Q15/'[2]BR RZiS'!$B15</f>
        <v>7.52170630426576E-2</v>
      </c>
      <c r="N16" s="2">
        <f>('[2]BR Bilans'!$L15/'[2]BR RZiS'!$B15)*365</f>
        <v>36.735770311648004</v>
      </c>
      <c r="O16" s="2">
        <f>('[2]BR Bilans'!$AC15/'[2]BR RZiS'!$B15)*365</f>
        <v>62.701124113921402</v>
      </c>
      <c r="P16" s="2">
        <f>('[2]BR Bilans'!$K15/'[2]BR RZiS'!$B15)*365</f>
        <v>47.613355144498968</v>
      </c>
    </row>
    <row r="17" spans="2:16" x14ac:dyDescent="0.25">
      <c r="B17">
        <v>2018</v>
      </c>
      <c r="C17" s="1">
        <f>('[2]BR Bilans'!$W16+'[2]BR Bilans'!$AC16)/'[2]BR Bilans'!$Q16</f>
        <v>0.44330090112601711</v>
      </c>
      <c r="D17" s="5">
        <f>('[2]BR Bilans'!$W16+'[2]BR Bilans'!$AC16)/('[2]BR Bilans'!$R16+'[2]BR Bilans'!$V16)</f>
        <v>0.79630253043819788</v>
      </c>
      <c r="E17" s="2">
        <f>('[2]BR RZiS'!$O16+'[2]BR RZiS'!$K16)/'[2]BR RZiS'!$K16</f>
        <v>5.6137112722478575</v>
      </c>
      <c r="F17" s="2">
        <f>(('[2]BR Bilans'!$AC16+'[2]BR Bilans'!$W16)-'[2]BR Bilans'!$N16)/('[2]BR RZiS'!$I16+'[2]BR Rpp_Orlen'!$C16)</f>
        <v>2.4747340425531914</v>
      </c>
      <c r="G17" s="2">
        <f>'[2]BR Bilans'!$J16/'[2]BR Bilans'!$AC16</f>
        <v>1.7850633211030891</v>
      </c>
      <c r="H17" s="3">
        <f>('[2]BR Bilans'!$J16-'[2]BR Bilans'!$K16-'[2]BR Bilans'!$AI16)/'[2]BR Bilans'!$AC16</f>
        <v>0.93780329033021659</v>
      </c>
      <c r="I17" s="3">
        <f>'[2]BR Bilans'!$N16/'[2]BR Bilans'!$AC16</f>
        <v>0.24807669546691916</v>
      </c>
      <c r="J17" s="42">
        <f>('[2]BR RZiS'!$I16/'[2]BR RZiS'!$B16)</f>
        <v>6.4745775071554879E-2</v>
      </c>
      <c r="K17" s="42">
        <f>'[2]BR RZiS'!$Q16/'[2]BR Bilans'!$Q16</f>
        <v>8.6067685964610896E-2</v>
      </c>
      <c r="L17" s="42">
        <f>'[2]BR RZiS'!$Q16/'[2]BR Bilans'!$R16</f>
        <v>0.15465566593702643</v>
      </c>
      <c r="M17" s="42">
        <f>'[2]BR RZiS'!$Q16/'[2]BR RZiS'!$B16</f>
        <v>5.0234262483364628E-2</v>
      </c>
      <c r="N17" s="2">
        <f>('[2]BR Bilans'!$L16/'[2]BR RZiS'!$B16)*365</f>
        <v>35.243696789601302</v>
      </c>
      <c r="O17" s="2">
        <f>('[2]BR Bilans'!$AC16/'[2]BR RZiS'!$B16)*365</f>
        <v>56.220899495013953</v>
      </c>
      <c r="P17" s="2">
        <f>('[2]BR Bilans'!$K16/'[2]BR RZiS'!$B16)*365</f>
        <v>47.633721036224095</v>
      </c>
    </row>
    <row r="18" spans="2:16" x14ac:dyDescent="0.25">
      <c r="B18">
        <v>2019</v>
      </c>
      <c r="C18" s="1">
        <f>('[2]BR Bilans'!$W17+'[2]BR Bilans'!$AC17)/'[2]BR Bilans'!$Q17</f>
        <v>0.45778208477289961</v>
      </c>
      <c r="D18" s="5">
        <f>('[2]BR Bilans'!$W17+'[2]BR Bilans'!$AC17)/('[2]BR Bilans'!$R17+'[2]BR Bilans'!$V17)</f>
        <v>0.8442769445955397</v>
      </c>
      <c r="E18" s="2">
        <f>('[2]BR RZiS'!$O17+'[2]BR RZiS'!$K17)/'[2]BR RZiS'!$K17</f>
        <v>6.940066592674806</v>
      </c>
      <c r="F18" s="2">
        <f>(('[2]BR Bilans'!$AC17+'[2]BR Bilans'!$W17)-'[2]BR Bilans'!$N17)/('[2]BR RZiS'!$I17+'[2]BR Rpp_Orlen'!$C17)</f>
        <v>2.9800473452823808</v>
      </c>
      <c r="G18" s="2">
        <f>'[2]BR Bilans'!$J17/'[2]BR Bilans'!$AC17</f>
        <v>1.7464442013129102</v>
      </c>
      <c r="H18" s="3">
        <f>('[2]BR Bilans'!$J17-'[2]BR Bilans'!$K17-'[2]BR Bilans'!$AI17)/'[2]BR Bilans'!$AC17</f>
        <v>0.9218271334792123</v>
      </c>
      <c r="I18" s="3">
        <f>'[2]BR Bilans'!$N17/'[2]BR Bilans'!$AC17</f>
        <v>0.33692560175054703</v>
      </c>
      <c r="J18" s="42">
        <f>('[2]BR RZiS'!$I17/'[2]BR RZiS'!$B17)</f>
        <v>4.8245101301223885E-2</v>
      </c>
      <c r="K18" s="42">
        <f>'[2]BR RZiS'!$Q17/'[2]BR Bilans'!$Q17</f>
        <v>6.0363472936153476E-2</v>
      </c>
      <c r="L18" s="42">
        <f>'[2]BR RZiS'!$Q17/'[2]BR Bilans'!$R17</f>
        <v>0.11135869001969116</v>
      </c>
      <c r="M18" s="42">
        <f>'[2]BR RZiS'!$Q17/'[2]BR RZiS'!$B17</f>
        <v>3.8650036419880761E-2</v>
      </c>
      <c r="N18" s="2">
        <f>('[2]BR Bilans'!$L17/'[2]BR RZiS'!$B17)*365</f>
        <v>32.64232979326097</v>
      </c>
      <c r="O18" s="2">
        <f>('[2]BR Bilans'!$AC17/'[2]BR RZiS'!$B17)*365</f>
        <v>60.000179851263006</v>
      </c>
      <c r="P18" s="2">
        <f>('[2]BR Bilans'!$K17/'[2]BR RZiS'!$B17)*365</f>
        <v>49.477172378443029</v>
      </c>
    </row>
    <row r="19" spans="2:16" x14ac:dyDescent="0.25">
      <c r="B19">
        <v>2020</v>
      </c>
      <c r="C19" s="1">
        <f>('[2]BR Bilans'!$W18+'[2]BR Bilans'!$AC18)/'[2]BR Bilans'!$Q18</f>
        <v>0.49444689658463264</v>
      </c>
      <c r="D19" s="5">
        <f>('[2]BR Bilans'!$W18+'[2]BR Bilans'!$AC18)/('[2]BR Bilans'!$R18+'[2]BR Bilans'!$V18)</f>
        <v>0.97803157224096837</v>
      </c>
      <c r="E19" s="2">
        <f>('[2]BR RZiS'!$O18+'[2]BR RZiS'!$K18)/'[2]BR RZiS'!$K18</f>
        <v>2.5468501852832186</v>
      </c>
      <c r="F19" s="2">
        <f>(('[2]BR Bilans'!$AC18+'[2]BR Bilans'!$W18)-'[2]BR Bilans'!$N18)/('[2]BR RZiS'!$I18+'[2]BR Rpp_Orlen'!$C18)</f>
        <v>4.7242392198331569</v>
      </c>
      <c r="G19" s="2">
        <f>'[2]BR Bilans'!$J18/'[2]BR Bilans'!$AC18</f>
        <v>1.0737654859535857</v>
      </c>
      <c r="H19" s="3">
        <f>('[2]BR Bilans'!$J18-'[2]BR Bilans'!$K18-'[2]BR Bilans'!$AI18)/'[2]BR Bilans'!$AC18</f>
        <v>0.53812598150410051</v>
      </c>
      <c r="I19" s="3">
        <f>'[2]BR Bilans'!$N18/'[2]BR Bilans'!$AC18</f>
        <v>5.4091781538998428E-2</v>
      </c>
      <c r="J19" s="42">
        <f>('[2]BR RZiS'!$I18/'[2]BR RZiS'!$B18)</f>
        <v>4.6112787189603155E-2</v>
      </c>
      <c r="K19" s="42">
        <f>'[2]BR RZiS'!$Q18/'[2]BR Bilans'!$Q18</f>
        <v>3.3700359072852425E-2</v>
      </c>
      <c r="L19" s="42">
        <f>'[2]BR RZiS'!$Q18/'[2]BR Bilans'!$R18</f>
        <v>6.7915184152322339E-2</v>
      </c>
      <c r="M19" s="42">
        <f>'[2]BR RZiS'!$Q18/'[2]BR RZiS'!$B18</f>
        <v>3.2780227430958458E-2</v>
      </c>
      <c r="N19" s="2">
        <f>('[2]BR Bilans'!$L18/'[2]BR RZiS'!$B18)*365</f>
        <v>42.730157809236481</v>
      </c>
      <c r="O19" s="2">
        <f>('[2]BR Bilans'!$AC18/'[2]BR RZiS'!$B18)*365</f>
        <v>97.090508238570436</v>
      </c>
      <c r="P19" s="2">
        <f>('[2]BR Bilans'!$K18/'[2]BR RZiS'!$B18)*365</f>
        <v>52.005511719656532</v>
      </c>
    </row>
    <row r="20" spans="2:16" x14ac:dyDescent="0.25">
      <c r="B20">
        <v>2021</v>
      </c>
      <c r="C20" s="1">
        <f>('[2]BR Bilans'!$W19+'[2]BR Bilans'!$AC19)/'[2]BR Bilans'!$Q19</f>
        <v>0.50748449706802556</v>
      </c>
      <c r="D20" s="5">
        <f>('[2]BR Bilans'!$W19+'[2]BR Bilans'!$AC19)/('[2]BR Bilans'!$R19+'[2]BR Bilans'!$V19)</f>
        <v>1.0303929400129332</v>
      </c>
      <c r="E20" s="2">
        <f>('[2]BR RZiS'!$O19+'[2]BR RZiS'!$K19)/'[2]BR RZiS'!$K19</f>
        <v>15.135330578512397</v>
      </c>
      <c r="F20" s="2">
        <f>(('[2]BR Bilans'!$AC19+'[2]BR Bilans'!$W19)-'[2]BR Bilans'!$N19)/('[2]BR RZiS'!$I19+'[2]BR Rpp_Orlen'!$C19)</f>
        <v>2.6693040445578053</v>
      </c>
      <c r="G20" s="2">
        <f>'[2]BR Bilans'!$J19/'[2]BR Bilans'!$AC19</f>
        <v>1.255999735912587</v>
      </c>
      <c r="H20" s="3">
        <f>('[2]BR Bilans'!$J19-'[2]BR Bilans'!$K19-'[2]BR Bilans'!$AI19)/'[2]BR Bilans'!$AC19</f>
        <v>0.64826857689895356</v>
      </c>
      <c r="I20" s="3">
        <f>'[2]BR Bilans'!$N19/'[2]BR Bilans'!$AC19</f>
        <v>9.5599643481992541E-2</v>
      </c>
      <c r="J20" s="42">
        <f>('[2]BR RZiS'!$I19/'[2]BR RZiS'!$B19)</f>
        <v>0.10560297241531585</v>
      </c>
      <c r="K20" s="42">
        <f>'[2]BR RZiS'!$Q19/'[2]BR Bilans'!$Q19</f>
        <v>0.10480169361335406</v>
      </c>
      <c r="L20" s="42">
        <f>'[2]BR RZiS'!$Q19/'[2]BR Bilans'!$R19</f>
        <v>0.21637302492892646</v>
      </c>
      <c r="M20" s="42">
        <f>'[2]BR RZiS'!$Q19/'[2]BR RZiS'!$B19</f>
        <v>8.5182844656276416E-2</v>
      </c>
      <c r="N20" s="2">
        <f>('[2]BR Bilans'!$L19/'[2]BR RZiS'!$B19)*365</f>
        <v>42.157818198430043</v>
      </c>
      <c r="O20" s="2">
        <f>('[2]BR Bilans'!$AC19/'[2]BR RZiS'!$B19)*365</f>
        <v>84.185022194135883</v>
      </c>
      <c r="P20" s="2">
        <f>('[2]BR Bilans'!$K19/'[2]BR RZiS'!$B19)*365</f>
        <v>51.161861109630657</v>
      </c>
    </row>
    <row r="21" spans="2:16" x14ac:dyDescent="0.25">
      <c r="B21">
        <v>2022</v>
      </c>
      <c r="C21" s="1">
        <f>('[2]BR Bilans'!$W20+'[2]BR Bilans'!$AC20)/'[2]BR Bilans'!$Q20</f>
        <v>0.49707887943538465</v>
      </c>
      <c r="D21" s="5">
        <f>('[2]BR Bilans'!$W20+'[2]BR Bilans'!$AC20)/('[2]BR Bilans'!$R20+'[2]BR Bilans'!$V20)</f>
        <v>0.98838338480859234</v>
      </c>
      <c r="E21" s="2">
        <f>('[2]BR RZiS'!$O20+'[2]BR RZiS'!$K20)/'[2]BR RZiS'!$K20</f>
        <v>15.766460531102219</v>
      </c>
      <c r="F21" s="2">
        <f>(('[2]BR Bilans'!$AC20+'[2]BR Bilans'!$W20)-'[2]BR Bilans'!$N20)/('[2]BR RZiS'!$I20+'[2]BR Rpp_Orlen'!$C20)</f>
        <v>2.3723433043985094</v>
      </c>
      <c r="G21" s="2">
        <f>'[2]BR Bilans'!$J20/'[2]BR Bilans'!$AC20</f>
        <v>1.2703944073233373</v>
      </c>
      <c r="H21" s="3">
        <f>('[2]BR Bilans'!$J20-'[2]BR Bilans'!$K20-'[2]BR Bilans'!$AI20)/'[2]BR Bilans'!$AC20</f>
        <v>0.79319458209448301</v>
      </c>
      <c r="I21" s="3">
        <f>'[2]BR Bilans'!$N20/'[2]BR Bilans'!$AC20</f>
        <v>0.22808700192887668</v>
      </c>
      <c r="J21" s="42">
        <f>('[2]BR RZiS'!$I20/'[2]BR RZiS'!$B20)</f>
        <v>0.14804873830900261</v>
      </c>
      <c r="K21" s="42">
        <f>'[2]BR RZiS'!$Q20/'[2]BR Bilans'!$Q20</f>
        <v>0.12349124398241819</v>
      </c>
      <c r="L21" s="42">
        <f>'[2]BR RZiS'!$Q20/'[2]BR Bilans'!$R20</f>
        <v>0.24737399593962398</v>
      </c>
      <c r="M21" s="42">
        <f>'[2]BR RZiS'!$Q20/'[2]BR RZiS'!$B20</f>
        <v>0.12116124569468663</v>
      </c>
      <c r="N21" s="2">
        <f>('[2]BR Bilans'!$L20/'[2]BR RZiS'!$B20)*365</f>
        <v>49.849476156850315</v>
      </c>
      <c r="O21" s="2">
        <f>('[2]BR Bilans'!$AC20/'[2]BR RZiS'!$B20)*365</f>
        <v>123.39678416509345</v>
      </c>
      <c r="P21" s="2">
        <f>('[2]BR Bilans'!$K20/'[2]BR RZiS'!$B20)*365</f>
        <v>58.884923837385251</v>
      </c>
    </row>
    <row r="22" spans="2:16" x14ac:dyDescent="0.25">
      <c r="B22">
        <v>2023</v>
      </c>
      <c r="C22" s="1">
        <f>('[2]BR Bilans'!$W21+'[2]BR Bilans'!$AC21)/'[2]BR Bilans'!$Q21</f>
        <v>0.42016367752045969</v>
      </c>
      <c r="D22" s="5">
        <f>('[2]BR Bilans'!$W21+'[2]BR Bilans'!$AC21)/('[2]BR Bilans'!$R21+'[2]BR Bilans'!$V21)</f>
        <v>0.72462462462462462</v>
      </c>
      <c r="E22" s="2">
        <f>('[2]BR RZiS'!$O21+'[2]BR RZiS'!$K21)/'[2]BR RZiS'!$K21</f>
        <v>15.106095858538856</v>
      </c>
      <c r="F22" s="2">
        <f>(('[2]BR Bilans'!$AC21+'[2]BR Bilans'!$W21)-'[2]BR Bilans'!$N21)/('[2]BR RZiS'!$I21+'[2]BR Rpp_Orlen'!$C21)</f>
        <v>2.3117900416508896</v>
      </c>
      <c r="G22" s="2">
        <f>'[2]BR Bilans'!$J21/'[2]BR Bilans'!$AC21</f>
        <v>1.3459254561701883</v>
      </c>
      <c r="H22" s="3">
        <f>('[2]BR Bilans'!$J21-'[2]BR Bilans'!$K21-'[2]BR Bilans'!$AI21)/'[2]BR Bilans'!$AC21</f>
        <v>0.87326684154391632</v>
      </c>
      <c r="I22" s="3">
        <f>'[2]BR Bilans'!$N21/'[2]BR Bilans'!$AC21</f>
        <v>0.19185091234037646</v>
      </c>
      <c r="J22" s="42">
        <f>('[2]BR RZiS'!$I21/'[2]BR RZiS'!$B21)</f>
        <v>7.526417306252968E-2</v>
      </c>
      <c r="K22" s="42">
        <f>'[2]BR RZiS'!$Q21/'[2]BR Bilans'!$Q21</f>
        <v>7.8458463611655774E-2</v>
      </c>
      <c r="L22" s="42">
        <f>'[2]BR RZiS'!$Q21/'[2]BR Bilans'!$R21</f>
        <v>0.13628831814415907</v>
      </c>
      <c r="M22" s="42">
        <f>'[2]BR RZiS'!$Q21/'[2]BR RZiS'!$B21</f>
        <v>5.5603097913710174E-2</v>
      </c>
      <c r="N22" s="2">
        <f>('[2]BR Bilans'!$L21/'[2]BR RZiS'!$B21)*365</f>
        <v>40.281824839645139</v>
      </c>
      <c r="O22" s="2">
        <f>('[2]BR Bilans'!$AC21/'[2]BR RZiS'!$B21)*365</f>
        <v>67.936351662030177</v>
      </c>
      <c r="P22" s="2">
        <f>('[2]BR Bilans'!$K21/'[2]BR RZiS'!$B21)*365</f>
        <v>32.110701859338405</v>
      </c>
    </row>
    <row r="23" spans="2:16" x14ac:dyDescent="0.25">
      <c r="B23">
        <v>2024</v>
      </c>
      <c r="C23" s="1">
        <f>('[2]BR Bilans'!$W22+'[2]BR Bilans'!$AC22)/'[2]BR Bilans'!$Q22</f>
        <v>0.41668252506260894</v>
      </c>
      <c r="D23" s="5">
        <f>('[2]BR Bilans'!$W22+'[2]BR Bilans'!$AC22)/('[2]BR Bilans'!$R22+'[2]BR Bilans'!$V22)</f>
        <v>0.71433231981835033</v>
      </c>
      <c r="E23" s="2">
        <f>('[2]BR RZiS'!$O22+'[2]BR RZiS'!$K22)/'[2]BR RZiS'!$K22</f>
        <v>10.55576323987539</v>
      </c>
      <c r="F23" s="2">
        <f>(('[2]BR Bilans'!$AC22+'[2]BR Bilans'!$W22)-'[2]BR Bilans'!$N22)/('[2]BR RZiS'!$I22+'[2]BR Rpp_Orlen'!$C22)</f>
        <v>3.3254957602783688</v>
      </c>
      <c r="G23" s="2">
        <f>'[2]BR Bilans'!$J22/'[2]BR Bilans'!$AC22</f>
        <v>1.1389036368462968</v>
      </c>
      <c r="H23" s="3">
        <f>('[2]BR Bilans'!$J22-'[2]BR Bilans'!$K22-'[2]BR Bilans'!$AI22)/'[2]BR Bilans'!$AC22</f>
        <v>0.78779532784709316</v>
      </c>
      <c r="I23" s="3">
        <f>'[2]BR Bilans'!$N22/'[2]BR Bilans'!$AC22</f>
        <v>0.18320281391027343</v>
      </c>
      <c r="J23" s="42">
        <f>('[2]BR RZiS'!$I22/'[2]BR RZiS'!$B22)</f>
        <v>5.2753521672217599E-2</v>
      </c>
      <c r="K23" s="42">
        <f>'[2]BR RZiS'!$Q22/'[2]BR Bilans'!$Q22</f>
        <v>3.0269237502949662E-2</v>
      </c>
      <c r="L23" s="42">
        <f>'[2]BR RZiS'!$Q22/'[2]BR Bilans'!$R22</f>
        <v>5.2248807599826558E-2</v>
      </c>
      <c r="M23" s="42">
        <f>'[2]BR RZiS'!$Q22/'[2]BR RZiS'!$B22</f>
        <v>2.6782557156664319E-2</v>
      </c>
      <c r="N23" s="2">
        <f>('[2]BR Bilans'!$L22/'[2]BR RZiS'!$B22)*365</f>
        <v>40.21862487245199</v>
      </c>
      <c r="O23" s="2">
        <f>('[2]BR Bilans'!$AC22/'[2]BR RZiS'!$B22)*365</f>
        <v>74.084870364071705</v>
      </c>
      <c r="P23" s="2">
        <f>('[2]BR Bilans'!$K22/'[2]BR RZiS'!$B22)*365</f>
        <v>26.011813555954429</v>
      </c>
    </row>
    <row r="26" spans="2:16" x14ac:dyDescent="0.25">
      <c r="K26" s="42" t="s">
        <v>19</v>
      </c>
      <c r="L26" s="42" t="s">
        <v>19</v>
      </c>
      <c r="M26" s="43" t="s">
        <v>19</v>
      </c>
    </row>
  </sheetData>
  <mergeCells count="4">
    <mergeCell ref="C1:F1"/>
    <mergeCell ref="G1:I1"/>
    <mergeCell ref="J1:M1"/>
    <mergeCell ref="N1:P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0B5A5-667A-4E9C-A93A-2644CAC741C2}">
  <dimension ref="A1:L22"/>
  <sheetViews>
    <sheetView workbookViewId="0">
      <selection activeCell="E33" sqref="E33"/>
    </sheetView>
  </sheetViews>
  <sheetFormatPr defaultRowHeight="15" x14ac:dyDescent="0.25"/>
  <cols>
    <col min="1" max="1" width="14.5703125" bestFit="1" customWidth="1"/>
    <col min="2" max="2" width="42.85546875" bestFit="1" customWidth="1"/>
    <col min="3" max="3" width="11.85546875" bestFit="1" customWidth="1"/>
    <col min="4" max="4" width="44.28515625" bestFit="1" customWidth="1"/>
    <col min="5" max="5" width="30.85546875" bestFit="1" customWidth="1"/>
    <col min="6" max="6" width="42.28515625" bestFit="1" customWidth="1"/>
    <col min="7" max="7" width="11.7109375" bestFit="1" customWidth="1"/>
    <col min="8" max="9" width="11.42578125" bestFit="1" customWidth="1"/>
    <col min="10" max="10" width="30.42578125" bestFit="1" customWidth="1"/>
    <col min="11" max="11" width="24.7109375" bestFit="1" customWidth="1"/>
    <col min="12" max="12" width="14.28515625" bestFit="1" customWidth="1"/>
    <col min="13" max="23" width="12.42578125" bestFit="1" customWidth="1"/>
  </cols>
  <sheetData>
    <row r="1" spans="1:12" x14ac:dyDescent="0.25">
      <c r="A1" t="s">
        <v>4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</row>
    <row r="2" spans="1:12" x14ac:dyDescent="0.25">
      <c r="A2">
        <v>2004</v>
      </c>
      <c r="B2">
        <v>3636845</v>
      </c>
      <c r="C2">
        <v>1350392</v>
      </c>
      <c r="E2">
        <v>1871895</v>
      </c>
      <c r="G2">
        <v>0</v>
      </c>
      <c r="H2">
        <v>278011</v>
      </c>
      <c r="K2">
        <v>99024</v>
      </c>
    </row>
    <row r="3" spans="1:12" x14ac:dyDescent="0.25">
      <c r="A3">
        <v>2005</v>
      </c>
      <c r="B3">
        <v>3663889</v>
      </c>
      <c r="C3">
        <v>1779944</v>
      </c>
      <c r="E3">
        <v>3633698</v>
      </c>
      <c r="G3">
        <v>0</v>
      </c>
      <c r="H3">
        <v>911020</v>
      </c>
      <c r="K3">
        <v>396280</v>
      </c>
    </row>
    <row r="4" spans="1:12" x14ac:dyDescent="0.25">
      <c r="A4">
        <v>2006</v>
      </c>
      <c r="B4">
        <v>3693189</v>
      </c>
      <c r="C4">
        <v>2108127</v>
      </c>
      <c r="E4">
        <v>7761149</v>
      </c>
      <c r="F4">
        <v>4277568</v>
      </c>
      <c r="G4">
        <v>0</v>
      </c>
      <c r="H4">
        <v>0</v>
      </c>
      <c r="K4">
        <v>1224559</v>
      </c>
    </row>
    <row r="5" spans="1:12" x14ac:dyDescent="0.25">
      <c r="A5">
        <v>2007</v>
      </c>
      <c r="B5">
        <v>1965066</v>
      </c>
      <c r="C5">
        <v>2431423</v>
      </c>
      <c r="E5">
        <v>3693736</v>
      </c>
      <c r="F5">
        <v>27039</v>
      </c>
      <c r="G5">
        <v>0</v>
      </c>
      <c r="H5">
        <v>0</v>
      </c>
    </row>
    <row r="6" spans="1:12" x14ac:dyDescent="0.25">
      <c r="A6">
        <v>2008</v>
      </c>
      <c r="B6">
        <v>3616760</v>
      </c>
      <c r="C6">
        <v>2491383</v>
      </c>
      <c r="E6">
        <v>3969409</v>
      </c>
      <c r="F6">
        <v>612573</v>
      </c>
      <c r="G6">
        <v>0</v>
      </c>
      <c r="H6">
        <v>692888</v>
      </c>
    </row>
    <row r="7" spans="1:12" x14ac:dyDescent="0.25">
      <c r="A7">
        <v>2009</v>
      </c>
      <c r="B7">
        <v>5161793</v>
      </c>
      <c r="C7">
        <v>2567646</v>
      </c>
      <c r="E7">
        <v>2670628</v>
      </c>
      <c r="G7">
        <v>0</v>
      </c>
      <c r="H7">
        <v>0</v>
      </c>
      <c r="K7">
        <v>1600212</v>
      </c>
    </row>
    <row r="8" spans="1:12" x14ac:dyDescent="0.25">
      <c r="A8">
        <v>2010</v>
      </c>
      <c r="B8">
        <v>6110199</v>
      </c>
      <c r="C8">
        <v>2422747</v>
      </c>
      <c r="E8">
        <v>3724370</v>
      </c>
      <c r="G8">
        <v>0</v>
      </c>
      <c r="H8">
        <v>0</v>
      </c>
    </row>
    <row r="9" spans="1:12" x14ac:dyDescent="0.25">
      <c r="A9">
        <v>2011</v>
      </c>
      <c r="B9">
        <v>761106</v>
      </c>
      <c r="C9">
        <v>2379948</v>
      </c>
      <c r="D9">
        <v>1497021</v>
      </c>
      <c r="E9">
        <v>2542445</v>
      </c>
      <c r="F9">
        <v>332376</v>
      </c>
      <c r="G9">
        <v>0</v>
      </c>
      <c r="H9">
        <v>0</v>
      </c>
      <c r="K9">
        <v>2590503</v>
      </c>
    </row>
    <row r="10" spans="1:12" x14ac:dyDescent="0.25">
      <c r="A10">
        <v>2012</v>
      </c>
      <c r="B10">
        <v>3089185</v>
      </c>
      <c r="C10">
        <v>2260122</v>
      </c>
      <c r="E10">
        <v>2446497</v>
      </c>
      <c r="G10">
        <v>0</v>
      </c>
      <c r="H10">
        <v>0</v>
      </c>
    </row>
    <row r="11" spans="1:12" x14ac:dyDescent="0.25">
      <c r="A11">
        <v>2013</v>
      </c>
      <c r="B11">
        <v>5671000</v>
      </c>
      <c r="C11">
        <v>2170000</v>
      </c>
      <c r="E11">
        <v>2400000</v>
      </c>
      <c r="G11">
        <v>0</v>
      </c>
      <c r="H11">
        <v>642000</v>
      </c>
      <c r="K11">
        <v>683000</v>
      </c>
    </row>
    <row r="12" spans="1:12" x14ac:dyDescent="0.25">
      <c r="A12">
        <v>2014</v>
      </c>
      <c r="B12">
        <v>3187000</v>
      </c>
      <c r="C12">
        <v>1991000</v>
      </c>
      <c r="E12">
        <v>3700000</v>
      </c>
      <c r="F12">
        <v>2083000</v>
      </c>
      <c r="G12">
        <v>0</v>
      </c>
      <c r="H12">
        <v>617000</v>
      </c>
      <c r="K12">
        <v>1250000</v>
      </c>
    </row>
    <row r="13" spans="1:12" x14ac:dyDescent="0.25">
      <c r="A13">
        <v>2015</v>
      </c>
      <c r="B13">
        <v>5354000</v>
      </c>
      <c r="C13">
        <v>1895000</v>
      </c>
      <c r="E13">
        <v>3079000</v>
      </c>
      <c r="G13">
        <v>0</v>
      </c>
      <c r="H13">
        <v>706000</v>
      </c>
    </row>
    <row r="14" spans="1:12" x14ac:dyDescent="0.25">
      <c r="A14">
        <v>2016</v>
      </c>
      <c r="B14">
        <v>9331000</v>
      </c>
      <c r="C14">
        <v>2110000</v>
      </c>
      <c r="E14">
        <v>5035000</v>
      </c>
      <c r="G14">
        <v>0</v>
      </c>
      <c r="H14">
        <v>912000</v>
      </c>
      <c r="K14">
        <v>2685000</v>
      </c>
    </row>
    <row r="15" spans="1:12" x14ac:dyDescent="0.25">
      <c r="A15">
        <v>2017</v>
      </c>
      <c r="B15">
        <v>8050000</v>
      </c>
      <c r="C15">
        <v>2421000</v>
      </c>
      <c r="E15">
        <v>4039000</v>
      </c>
      <c r="G15">
        <v>0</v>
      </c>
      <c r="H15">
        <v>1283000</v>
      </c>
      <c r="K15">
        <v>1293000</v>
      </c>
    </row>
    <row r="16" spans="1:12" x14ac:dyDescent="0.25">
      <c r="A16">
        <v>2018</v>
      </c>
      <c r="B16">
        <v>4979000</v>
      </c>
      <c r="C16">
        <v>2673000</v>
      </c>
      <c r="E16">
        <v>4453000</v>
      </c>
      <c r="G16">
        <v>0</v>
      </c>
      <c r="H16">
        <v>1283000</v>
      </c>
    </row>
    <row r="17" spans="1:11" x14ac:dyDescent="0.25">
      <c r="A17">
        <v>2019</v>
      </c>
      <c r="B17">
        <v>9319000</v>
      </c>
      <c r="C17">
        <v>3506000</v>
      </c>
      <c r="E17">
        <v>4450000</v>
      </c>
      <c r="G17">
        <v>0</v>
      </c>
      <c r="H17">
        <v>1497000</v>
      </c>
      <c r="K17">
        <v>1962000</v>
      </c>
    </row>
    <row r="18" spans="1:11" x14ac:dyDescent="0.25">
      <c r="A18">
        <v>2020</v>
      </c>
      <c r="B18">
        <v>7247000</v>
      </c>
      <c r="C18">
        <v>4537000</v>
      </c>
      <c r="E18">
        <v>7573000</v>
      </c>
      <c r="G18">
        <v>0</v>
      </c>
      <c r="H18">
        <v>428000</v>
      </c>
    </row>
    <row r="19" spans="1:11" x14ac:dyDescent="0.25">
      <c r="A19">
        <v>2021</v>
      </c>
      <c r="B19">
        <v>13296000</v>
      </c>
      <c r="C19">
        <v>5341000</v>
      </c>
      <c r="E19">
        <v>11225000</v>
      </c>
      <c r="G19">
        <v>0</v>
      </c>
      <c r="H19">
        <v>1498000</v>
      </c>
      <c r="K19">
        <v>1551000</v>
      </c>
    </row>
    <row r="20" spans="1:11" x14ac:dyDescent="0.25">
      <c r="A20">
        <v>2022</v>
      </c>
      <c r="B20">
        <v>30951000</v>
      </c>
      <c r="C20">
        <v>6946000</v>
      </c>
      <c r="D20">
        <v>1517000</v>
      </c>
      <c r="E20">
        <v>20133000</v>
      </c>
      <c r="G20">
        <v>0</v>
      </c>
      <c r="H20">
        <v>1500000</v>
      </c>
      <c r="K20">
        <v>17899000</v>
      </c>
    </row>
    <row r="21" spans="1:11" x14ac:dyDescent="0.25">
      <c r="A21">
        <v>2023</v>
      </c>
      <c r="B21">
        <v>41914000</v>
      </c>
      <c r="C21">
        <v>14200000</v>
      </c>
      <c r="E21">
        <v>36187000</v>
      </c>
      <c r="G21">
        <v>0</v>
      </c>
      <c r="H21">
        <v>6385000</v>
      </c>
    </row>
    <row r="22" spans="1:11" x14ac:dyDescent="0.25">
      <c r="A22">
        <v>2024</v>
      </c>
      <c r="B22">
        <v>36634000</v>
      </c>
      <c r="C22">
        <v>13936000</v>
      </c>
      <c r="D22">
        <v>-34051000</v>
      </c>
      <c r="E22">
        <v>30937000</v>
      </c>
      <c r="F22">
        <v>-4761000</v>
      </c>
      <c r="G22">
        <v>0</v>
      </c>
      <c r="H22">
        <v>4819000</v>
      </c>
      <c r="K22">
        <v>-2178000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8E6E1-5BCD-4B9D-B1CF-6F7D5C6AA120}">
  <dimension ref="A1:S22"/>
  <sheetViews>
    <sheetView topLeftCell="L1" workbookViewId="0">
      <selection activeCell="E33" sqref="E33"/>
    </sheetView>
  </sheetViews>
  <sheetFormatPr defaultRowHeight="15" x14ac:dyDescent="0.25"/>
  <cols>
    <col min="1" max="1" width="11.42578125" bestFit="1" customWidth="1"/>
    <col min="2" max="2" width="21.7109375" bestFit="1" customWidth="1"/>
    <col min="3" max="3" width="47.28515625" bestFit="1" customWidth="1"/>
    <col min="4" max="4" width="15.85546875" bestFit="1" customWidth="1"/>
    <col min="5" max="5" width="23" bestFit="1" customWidth="1"/>
    <col min="6" max="6" width="16.42578125" bestFit="1" customWidth="1"/>
    <col min="7" max="7" width="29.7109375" bestFit="1" customWidth="1"/>
    <col min="8" max="8" width="26.140625" bestFit="1" customWidth="1"/>
    <col min="9" max="9" width="20.7109375" bestFit="1" customWidth="1"/>
    <col min="10" max="10" width="19.7109375" bestFit="1" customWidth="1"/>
    <col min="11" max="11" width="16.28515625" bestFit="1" customWidth="1"/>
    <col min="12" max="12" width="26.7109375" bestFit="1" customWidth="1"/>
    <col min="13" max="13" width="30.42578125" bestFit="1" customWidth="1"/>
    <col min="14" max="14" width="28.85546875" bestFit="1" customWidth="1"/>
    <col min="15" max="15" width="26.5703125" bestFit="1" customWidth="1"/>
    <col min="16" max="16" width="41.42578125" bestFit="1" customWidth="1"/>
    <col min="17" max="17" width="12.42578125" bestFit="1" customWidth="1"/>
    <col min="18" max="18" width="43.7109375" bestFit="1" customWidth="1"/>
    <col min="19" max="21" width="12.42578125" bestFit="1" customWidth="1"/>
  </cols>
  <sheetData>
    <row r="1" spans="1:19" x14ac:dyDescent="0.25">
      <c r="A1" t="s">
        <v>4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</row>
    <row r="2" spans="1:19" x14ac:dyDescent="0.25">
      <c r="A2">
        <v>2004</v>
      </c>
      <c r="B2">
        <v>30680458</v>
      </c>
      <c r="C2">
        <v>24605322</v>
      </c>
      <c r="D2">
        <v>2115625</v>
      </c>
      <c r="E2">
        <v>855341</v>
      </c>
      <c r="F2">
        <v>3104170</v>
      </c>
      <c r="G2">
        <v>350310</v>
      </c>
      <c r="H2">
        <v>767951</v>
      </c>
      <c r="I2">
        <v>2686529</v>
      </c>
      <c r="J2">
        <v>625390</v>
      </c>
      <c r="K2">
        <v>366568</v>
      </c>
      <c r="L2">
        <v>193094</v>
      </c>
      <c r="M2">
        <v>3138445</v>
      </c>
      <c r="N2">
        <v>0</v>
      </c>
      <c r="O2">
        <v>3138445</v>
      </c>
      <c r="P2">
        <v>0</v>
      </c>
      <c r="Q2">
        <v>2537596</v>
      </c>
      <c r="R2">
        <v>2482227</v>
      </c>
    </row>
    <row r="3" spans="1:19" x14ac:dyDescent="0.25">
      <c r="A3">
        <v>2005</v>
      </c>
      <c r="B3">
        <v>41188267</v>
      </c>
      <c r="C3">
        <v>34078848</v>
      </c>
      <c r="D3">
        <v>2391290</v>
      </c>
      <c r="E3">
        <v>1039333</v>
      </c>
      <c r="F3">
        <v>3678796</v>
      </c>
      <c r="G3">
        <v>2359687</v>
      </c>
      <c r="H3">
        <v>1090863</v>
      </c>
      <c r="I3">
        <v>4947620</v>
      </c>
      <c r="J3">
        <v>602877</v>
      </c>
      <c r="K3">
        <v>480195</v>
      </c>
      <c r="L3">
        <v>202768</v>
      </c>
      <c r="M3">
        <v>5273070</v>
      </c>
      <c r="N3">
        <v>0</v>
      </c>
      <c r="O3">
        <v>5273070</v>
      </c>
      <c r="P3">
        <v>0</v>
      </c>
      <c r="Q3">
        <v>4637776</v>
      </c>
      <c r="R3">
        <v>4578456</v>
      </c>
    </row>
    <row r="4" spans="1:19" x14ac:dyDescent="0.25">
      <c r="A4">
        <v>2006</v>
      </c>
      <c r="B4">
        <v>52867189</v>
      </c>
      <c r="C4">
        <v>45871730</v>
      </c>
      <c r="D4">
        <v>2641239</v>
      </c>
      <c r="E4">
        <v>1170927</v>
      </c>
      <c r="F4">
        <v>3183293</v>
      </c>
      <c r="G4">
        <v>614791</v>
      </c>
      <c r="H4">
        <v>1221477</v>
      </c>
      <c r="I4">
        <v>2576607</v>
      </c>
      <c r="J4">
        <v>602877</v>
      </c>
      <c r="K4">
        <v>670838</v>
      </c>
      <c r="L4">
        <v>220701</v>
      </c>
      <c r="M4">
        <v>2729347</v>
      </c>
      <c r="N4">
        <v>0</v>
      </c>
      <c r="O4">
        <v>2729347</v>
      </c>
      <c r="P4">
        <v>0</v>
      </c>
      <c r="Q4">
        <v>2060198</v>
      </c>
      <c r="R4">
        <v>1985966</v>
      </c>
    </row>
    <row r="5" spans="1:19" x14ac:dyDescent="0.25">
      <c r="A5">
        <v>2007</v>
      </c>
      <c r="B5">
        <v>63792983</v>
      </c>
      <c r="C5">
        <v>56125921</v>
      </c>
      <c r="D5">
        <v>3175974</v>
      </c>
      <c r="E5">
        <v>1637370</v>
      </c>
      <c r="F5">
        <v>2853718</v>
      </c>
      <c r="G5">
        <v>470003</v>
      </c>
      <c r="H5">
        <v>719839</v>
      </c>
      <c r="I5">
        <v>2603882</v>
      </c>
      <c r="J5">
        <v>1190048</v>
      </c>
      <c r="K5">
        <v>1050246</v>
      </c>
      <c r="L5">
        <v>267381</v>
      </c>
      <c r="M5">
        <v>3011065</v>
      </c>
      <c r="N5">
        <v>0</v>
      </c>
      <c r="O5">
        <v>3011065</v>
      </c>
      <c r="P5">
        <v>0</v>
      </c>
      <c r="Q5">
        <v>2480426</v>
      </c>
      <c r="R5">
        <v>2412409</v>
      </c>
    </row>
    <row r="6" spans="1:19" x14ac:dyDescent="0.25">
      <c r="A6">
        <v>2008</v>
      </c>
      <c r="B6">
        <v>79535205</v>
      </c>
      <c r="C6">
        <v>73999322</v>
      </c>
      <c r="D6">
        <v>3325701</v>
      </c>
      <c r="E6">
        <v>1462477</v>
      </c>
      <c r="F6">
        <v>747705</v>
      </c>
      <c r="G6">
        <v>747930</v>
      </c>
      <c r="H6">
        <v>3098957</v>
      </c>
      <c r="I6">
        <v>-1603322</v>
      </c>
      <c r="J6">
        <v>702800</v>
      </c>
      <c r="K6">
        <v>2281414</v>
      </c>
      <c r="L6">
        <v>266533</v>
      </c>
      <c r="M6">
        <v>-2915403</v>
      </c>
      <c r="N6">
        <v>0</v>
      </c>
      <c r="O6">
        <v>-2915403</v>
      </c>
      <c r="P6">
        <v>0</v>
      </c>
      <c r="Q6">
        <v>-2526626</v>
      </c>
      <c r="R6">
        <v>-2505242</v>
      </c>
    </row>
    <row r="7" spans="1:19" x14ac:dyDescent="0.25">
      <c r="A7">
        <v>2009</v>
      </c>
      <c r="B7">
        <v>67927990</v>
      </c>
      <c r="C7">
        <v>61843276</v>
      </c>
      <c r="D7">
        <v>3507700</v>
      </c>
      <c r="E7">
        <v>1504707</v>
      </c>
      <c r="F7">
        <v>1072307</v>
      </c>
      <c r="G7">
        <v>1258334</v>
      </c>
      <c r="H7">
        <v>1233565</v>
      </c>
      <c r="I7">
        <v>1097076</v>
      </c>
      <c r="J7">
        <v>1094275</v>
      </c>
      <c r="K7">
        <v>1023074</v>
      </c>
      <c r="L7">
        <v>272375</v>
      </c>
      <c r="M7">
        <v>1440652</v>
      </c>
      <c r="N7">
        <v>0</v>
      </c>
      <c r="O7">
        <v>1440652</v>
      </c>
      <c r="P7">
        <v>0</v>
      </c>
      <c r="Q7">
        <v>1300167</v>
      </c>
      <c r="R7">
        <v>1308521</v>
      </c>
    </row>
    <row r="8" spans="1:19" x14ac:dyDescent="0.25">
      <c r="A8">
        <v>2010</v>
      </c>
      <c r="B8">
        <v>83547432</v>
      </c>
      <c r="C8">
        <v>75566961</v>
      </c>
      <c r="D8">
        <v>3394612</v>
      </c>
      <c r="E8">
        <v>1365195</v>
      </c>
      <c r="F8">
        <v>3220664</v>
      </c>
      <c r="G8">
        <v>771321</v>
      </c>
      <c r="H8">
        <v>869336</v>
      </c>
      <c r="I8">
        <v>3122649</v>
      </c>
      <c r="J8">
        <v>446754</v>
      </c>
      <c r="K8">
        <v>751248</v>
      </c>
      <c r="L8">
        <v>252012</v>
      </c>
      <c r="M8">
        <v>3070167</v>
      </c>
      <c r="N8">
        <v>0</v>
      </c>
      <c r="O8">
        <v>3070167</v>
      </c>
      <c r="P8">
        <v>0</v>
      </c>
      <c r="Q8">
        <v>2455467</v>
      </c>
      <c r="R8">
        <v>2371358</v>
      </c>
    </row>
    <row r="9" spans="1:19" x14ac:dyDescent="0.25">
      <c r="A9">
        <v>2011</v>
      </c>
      <c r="B9">
        <v>106973074</v>
      </c>
      <c r="C9">
        <v>98397811</v>
      </c>
      <c r="D9">
        <v>3660256</v>
      </c>
      <c r="E9">
        <v>1468298</v>
      </c>
      <c r="F9">
        <v>3446709</v>
      </c>
      <c r="G9">
        <v>1006655</v>
      </c>
      <c r="H9">
        <v>2386892</v>
      </c>
      <c r="I9">
        <v>2066472</v>
      </c>
      <c r="J9">
        <v>2780145</v>
      </c>
      <c r="K9">
        <v>2243175</v>
      </c>
      <c r="L9">
        <v>188299</v>
      </c>
      <c r="M9">
        <v>2791741</v>
      </c>
      <c r="N9">
        <v>0</v>
      </c>
      <c r="O9">
        <v>2791741</v>
      </c>
      <c r="P9">
        <v>0</v>
      </c>
      <c r="Q9">
        <v>2015003</v>
      </c>
      <c r="R9">
        <v>2363397</v>
      </c>
    </row>
    <row r="10" spans="1:19" x14ac:dyDescent="0.25">
      <c r="A10">
        <v>2012</v>
      </c>
      <c r="B10">
        <v>120101550</v>
      </c>
      <c r="C10">
        <v>112093990</v>
      </c>
      <c r="D10">
        <v>3871660</v>
      </c>
      <c r="E10">
        <v>1523632</v>
      </c>
      <c r="F10">
        <v>2612268</v>
      </c>
      <c r="G10">
        <v>726401</v>
      </c>
      <c r="H10">
        <v>1314298</v>
      </c>
      <c r="I10">
        <v>2024371</v>
      </c>
      <c r="J10">
        <v>1581994</v>
      </c>
      <c r="K10">
        <v>981226</v>
      </c>
      <c r="L10">
        <v>-696</v>
      </c>
      <c r="M10">
        <v>2624443</v>
      </c>
      <c r="N10">
        <v>0</v>
      </c>
      <c r="O10">
        <v>2624443</v>
      </c>
      <c r="P10">
        <v>0</v>
      </c>
      <c r="Q10">
        <v>2169990</v>
      </c>
      <c r="R10">
        <v>2344594</v>
      </c>
    </row>
    <row r="11" spans="1:19" x14ac:dyDescent="0.25">
      <c r="A11">
        <v>2013</v>
      </c>
      <c r="B11">
        <v>113853000</v>
      </c>
      <c r="C11">
        <v>107980000</v>
      </c>
      <c r="D11">
        <v>3935000</v>
      </c>
      <c r="E11">
        <v>1465000</v>
      </c>
      <c r="F11">
        <v>473000</v>
      </c>
      <c r="G11">
        <v>575000</v>
      </c>
      <c r="H11">
        <v>715000</v>
      </c>
      <c r="I11">
        <v>333000</v>
      </c>
      <c r="J11">
        <v>473000</v>
      </c>
      <c r="K11">
        <v>628000</v>
      </c>
      <c r="L11">
        <v>0</v>
      </c>
      <c r="M11">
        <v>178000</v>
      </c>
      <c r="N11">
        <v>0</v>
      </c>
      <c r="O11">
        <v>178000</v>
      </c>
      <c r="P11">
        <v>0</v>
      </c>
      <c r="Q11">
        <v>90000</v>
      </c>
      <c r="R11">
        <v>176000</v>
      </c>
    </row>
    <row r="12" spans="1:19" x14ac:dyDescent="0.25">
      <c r="A12">
        <v>2014</v>
      </c>
      <c r="B12">
        <v>106832000</v>
      </c>
      <c r="C12">
        <v>101010000</v>
      </c>
      <c r="D12">
        <v>3920000</v>
      </c>
      <c r="E12">
        <v>1512000</v>
      </c>
      <c r="F12">
        <v>390000</v>
      </c>
      <c r="G12">
        <v>823000</v>
      </c>
      <c r="H12">
        <v>5924000</v>
      </c>
      <c r="I12">
        <v>-4711000</v>
      </c>
      <c r="J12">
        <v>354000</v>
      </c>
      <c r="K12">
        <v>1889000</v>
      </c>
      <c r="M12">
        <v>-6246000</v>
      </c>
      <c r="N12">
        <v>0</v>
      </c>
      <c r="O12">
        <v>-6246000</v>
      </c>
      <c r="P12">
        <v>0</v>
      </c>
      <c r="Q12">
        <v>-5828000</v>
      </c>
      <c r="R12">
        <v>-5811000</v>
      </c>
    </row>
    <row r="13" spans="1:19" x14ac:dyDescent="0.25">
      <c r="A13">
        <v>2015</v>
      </c>
      <c r="B13">
        <v>88336000</v>
      </c>
      <c r="C13">
        <v>77792000</v>
      </c>
      <c r="D13">
        <v>3971000</v>
      </c>
      <c r="E13">
        <v>1552000</v>
      </c>
      <c r="F13">
        <v>5021000</v>
      </c>
      <c r="G13">
        <v>673000</v>
      </c>
      <c r="H13">
        <v>1354000</v>
      </c>
      <c r="I13">
        <v>4340000</v>
      </c>
      <c r="J13">
        <v>390000</v>
      </c>
      <c r="K13">
        <v>1032000</v>
      </c>
      <c r="L13">
        <v>0</v>
      </c>
      <c r="M13">
        <v>3698000</v>
      </c>
      <c r="N13">
        <v>0</v>
      </c>
      <c r="O13">
        <v>3698000</v>
      </c>
      <c r="P13">
        <v>0</v>
      </c>
      <c r="Q13">
        <v>3233000</v>
      </c>
      <c r="R13">
        <v>2837000</v>
      </c>
    </row>
    <row r="14" spans="1:19" x14ac:dyDescent="0.25">
      <c r="A14">
        <v>2016</v>
      </c>
      <c r="B14">
        <v>79553000</v>
      </c>
      <c r="C14">
        <v>68223000</v>
      </c>
      <c r="D14">
        <v>4125000</v>
      </c>
      <c r="E14">
        <v>1426000</v>
      </c>
      <c r="F14">
        <v>5779000</v>
      </c>
      <c r="G14">
        <v>2460000</v>
      </c>
      <c r="H14">
        <v>707000</v>
      </c>
      <c r="I14">
        <v>7532000</v>
      </c>
      <c r="J14">
        <v>248000</v>
      </c>
      <c r="K14">
        <v>893000</v>
      </c>
      <c r="L14">
        <v>0</v>
      </c>
      <c r="M14">
        <v>6887000</v>
      </c>
      <c r="N14">
        <v>0</v>
      </c>
      <c r="O14">
        <v>6887000</v>
      </c>
      <c r="P14">
        <v>0</v>
      </c>
      <c r="Q14">
        <v>5740000</v>
      </c>
      <c r="R14">
        <v>5261000</v>
      </c>
    </row>
    <row r="15" spans="1:19" x14ac:dyDescent="0.25">
      <c r="A15">
        <v>2017</v>
      </c>
      <c r="B15">
        <v>95364000</v>
      </c>
      <c r="C15">
        <v>81766000</v>
      </c>
      <c r="D15">
        <v>4327000</v>
      </c>
      <c r="E15">
        <v>1537000</v>
      </c>
      <c r="F15">
        <v>7734000</v>
      </c>
      <c r="G15">
        <v>1491000</v>
      </c>
      <c r="H15">
        <v>568000</v>
      </c>
      <c r="I15">
        <v>8657000</v>
      </c>
      <c r="J15">
        <v>1760000</v>
      </c>
      <c r="K15">
        <v>1700000</v>
      </c>
      <c r="L15">
        <v>0</v>
      </c>
      <c r="M15">
        <v>8717000</v>
      </c>
      <c r="N15">
        <v>0</v>
      </c>
      <c r="O15">
        <v>8717000</v>
      </c>
      <c r="P15">
        <v>0</v>
      </c>
      <c r="Q15">
        <v>7173000</v>
      </c>
      <c r="R15">
        <v>6655000</v>
      </c>
    </row>
    <row r="16" spans="1:19" x14ac:dyDescent="0.25">
      <c r="A16">
        <v>2018</v>
      </c>
      <c r="B16">
        <v>109706000</v>
      </c>
      <c r="C16">
        <v>97310000</v>
      </c>
      <c r="D16">
        <v>4745000</v>
      </c>
      <c r="E16">
        <v>1592000</v>
      </c>
      <c r="F16">
        <v>6059000</v>
      </c>
      <c r="G16">
        <v>2129000</v>
      </c>
      <c r="H16">
        <v>1085000</v>
      </c>
      <c r="I16">
        <v>7103000</v>
      </c>
      <c r="J16">
        <v>1413000</v>
      </c>
      <c r="K16">
        <v>1517000</v>
      </c>
      <c r="L16">
        <v>0</v>
      </c>
      <c r="M16">
        <v>6999000</v>
      </c>
      <c r="N16">
        <v>0</v>
      </c>
      <c r="O16">
        <v>6999000</v>
      </c>
      <c r="P16">
        <v>0</v>
      </c>
      <c r="Q16">
        <v>5511000</v>
      </c>
      <c r="R16">
        <v>5511000</v>
      </c>
    </row>
    <row r="17" spans="1:18" x14ac:dyDescent="0.25">
      <c r="A17">
        <v>2019</v>
      </c>
      <c r="B17">
        <v>111203000</v>
      </c>
      <c r="C17">
        <v>97301000</v>
      </c>
      <c r="D17">
        <v>6355000</v>
      </c>
      <c r="E17">
        <v>1806000</v>
      </c>
      <c r="F17">
        <v>5741000</v>
      </c>
      <c r="G17">
        <v>1341000</v>
      </c>
      <c r="H17">
        <v>1717000</v>
      </c>
      <c r="I17">
        <v>5365000</v>
      </c>
      <c r="J17">
        <v>890000</v>
      </c>
      <c r="K17">
        <v>901000</v>
      </c>
      <c r="L17">
        <v>-2000</v>
      </c>
      <c r="M17">
        <v>5352000</v>
      </c>
      <c r="N17">
        <v>0</v>
      </c>
      <c r="O17">
        <v>5352000</v>
      </c>
      <c r="P17">
        <v>0</v>
      </c>
      <c r="Q17">
        <v>4298000</v>
      </c>
      <c r="R17">
        <v>4300000</v>
      </c>
    </row>
    <row r="18" spans="1:18" x14ac:dyDescent="0.25">
      <c r="A18">
        <v>2020</v>
      </c>
      <c r="B18">
        <v>86180000</v>
      </c>
      <c r="C18">
        <v>76647000</v>
      </c>
      <c r="D18">
        <v>7226000</v>
      </c>
      <c r="E18">
        <v>2314000</v>
      </c>
      <c r="F18">
        <v>-7000</v>
      </c>
      <c r="G18">
        <v>10207000</v>
      </c>
      <c r="H18">
        <v>6226000</v>
      </c>
      <c r="I18">
        <v>3974000</v>
      </c>
      <c r="J18">
        <v>852000</v>
      </c>
      <c r="K18">
        <v>1889000</v>
      </c>
      <c r="L18">
        <v>-15000</v>
      </c>
      <c r="M18">
        <v>2922000</v>
      </c>
      <c r="N18">
        <v>0</v>
      </c>
      <c r="O18">
        <v>2922000</v>
      </c>
      <c r="P18">
        <v>0</v>
      </c>
      <c r="Q18">
        <v>2825000</v>
      </c>
      <c r="R18">
        <v>2755000</v>
      </c>
    </row>
    <row r="19" spans="1:18" x14ac:dyDescent="0.25">
      <c r="A19">
        <v>2021</v>
      </c>
      <c r="B19">
        <v>131341000</v>
      </c>
      <c r="C19">
        <v>110789000</v>
      </c>
      <c r="D19">
        <v>8507000</v>
      </c>
      <c r="E19">
        <v>2615000</v>
      </c>
      <c r="F19">
        <v>9430000</v>
      </c>
      <c r="G19">
        <v>8438000</v>
      </c>
      <c r="H19">
        <v>3998000</v>
      </c>
      <c r="I19">
        <v>13870000</v>
      </c>
      <c r="J19">
        <v>789000</v>
      </c>
      <c r="K19">
        <v>968000</v>
      </c>
      <c r="L19">
        <v>-8000</v>
      </c>
      <c r="M19">
        <v>13683000</v>
      </c>
      <c r="N19">
        <v>0</v>
      </c>
      <c r="O19">
        <v>13683000</v>
      </c>
      <c r="P19">
        <v>0</v>
      </c>
      <c r="Q19">
        <v>11188000</v>
      </c>
      <c r="R19">
        <v>11122000</v>
      </c>
    </row>
    <row r="20" spans="1:18" x14ac:dyDescent="0.25">
      <c r="A20">
        <v>2022</v>
      </c>
      <c r="B20">
        <v>277564000</v>
      </c>
      <c r="C20">
        <v>225168000</v>
      </c>
      <c r="D20">
        <v>11126000</v>
      </c>
      <c r="E20">
        <v>3545000</v>
      </c>
      <c r="F20">
        <v>37725000</v>
      </c>
      <c r="G20">
        <v>19308000</v>
      </c>
      <c r="H20">
        <v>15940000</v>
      </c>
      <c r="I20">
        <v>41093000</v>
      </c>
      <c r="J20">
        <v>2263000</v>
      </c>
      <c r="K20">
        <v>2749000</v>
      </c>
      <c r="L20">
        <v>-14000</v>
      </c>
      <c r="M20">
        <v>40593000</v>
      </c>
      <c r="N20">
        <v>0</v>
      </c>
      <c r="O20">
        <v>40593000</v>
      </c>
      <c r="P20">
        <v>0</v>
      </c>
      <c r="Q20">
        <v>33630000</v>
      </c>
      <c r="R20">
        <v>33488000</v>
      </c>
    </row>
    <row r="21" spans="1:18" x14ac:dyDescent="0.25">
      <c r="A21">
        <v>2023</v>
      </c>
      <c r="B21">
        <v>372767000</v>
      </c>
      <c r="C21">
        <v>311847000</v>
      </c>
      <c r="D21">
        <v>16119000</v>
      </c>
      <c r="E21">
        <v>5635000</v>
      </c>
      <c r="F21">
        <v>39166000</v>
      </c>
      <c r="G21">
        <v>15413000</v>
      </c>
      <c r="H21">
        <v>26523000</v>
      </c>
      <c r="I21">
        <v>28056000</v>
      </c>
      <c r="J21">
        <v>4457000</v>
      </c>
      <c r="K21">
        <v>2149000</v>
      </c>
      <c r="L21">
        <v>-50000</v>
      </c>
      <c r="M21">
        <v>30314000</v>
      </c>
      <c r="N21">
        <v>0</v>
      </c>
      <c r="O21">
        <v>30314000</v>
      </c>
      <c r="P21">
        <v>0</v>
      </c>
      <c r="Q21">
        <v>20727000</v>
      </c>
      <c r="R21">
        <v>20680000</v>
      </c>
    </row>
    <row r="22" spans="1:18" x14ac:dyDescent="0.25">
      <c r="A22">
        <v>2024</v>
      </c>
      <c r="B22" s="40">
        <v>296947000</v>
      </c>
      <c r="C22" s="41">
        <v>255132000</v>
      </c>
      <c r="D22" s="40">
        <v>14001000</v>
      </c>
      <c r="E22">
        <v>6123000</v>
      </c>
      <c r="F22">
        <v>21691000</v>
      </c>
      <c r="G22">
        <v>3519000</v>
      </c>
      <c r="H22">
        <v>9545000</v>
      </c>
      <c r="I22">
        <v>15665000</v>
      </c>
      <c r="J22">
        <v>1476000</v>
      </c>
      <c r="K22">
        <v>1605000</v>
      </c>
      <c r="L22">
        <v>-199000</v>
      </c>
      <c r="M22">
        <v>15337000</v>
      </c>
      <c r="N22">
        <v>0</v>
      </c>
      <c r="O22">
        <v>15337000</v>
      </c>
      <c r="P22">
        <v>0</v>
      </c>
      <c r="Q22">
        <v>7953000</v>
      </c>
      <c r="R22">
        <v>7980000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9EAB-4724-4526-8B62-885A8A785BA5}">
  <dimension ref="A1:AJ23"/>
  <sheetViews>
    <sheetView topLeftCell="C1" zoomScaleNormal="100" workbookViewId="0">
      <selection activeCell="E32" sqref="E32"/>
    </sheetView>
  </sheetViews>
  <sheetFormatPr defaultRowHeight="15" x14ac:dyDescent="0.25"/>
  <cols>
    <col min="1" max="1" width="14.5703125" bestFit="1" customWidth="1"/>
    <col min="2" max="2" width="18" style="39" bestFit="1" customWidth="1"/>
    <col min="3" max="3" width="30.28515625" bestFit="1" customWidth="1"/>
    <col min="4" max="4" width="13.28515625" bestFit="1" customWidth="1"/>
    <col min="5" max="5" width="34.5703125" bestFit="1" customWidth="1"/>
    <col min="6" max="6" width="34.7109375" bestFit="1" customWidth="1"/>
    <col min="7" max="7" width="26.140625" bestFit="1" customWidth="1"/>
    <col min="8" max="8" width="25.28515625" bestFit="1" customWidth="1"/>
    <col min="9" max="9" width="22.42578125" bestFit="1" customWidth="1"/>
    <col min="10" max="10" width="25.28515625" bestFit="1" customWidth="1"/>
    <col min="11" max="11" width="12.42578125" bestFit="1" customWidth="1"/>
    <col min="12" max="12" width="26.7109375" bestFit="1" customWidth="1"/>
    <col min="13" max="13" width="26" bestFit="1" customWidth="1"/>
    <col min="14" max="14" width="37" bestFit="1" customWidth="1"/>
    <col min="15" max="15" width="25.28515625" bestFit="1" customWidth="1"/>
    <col min="16" max="16" width="38.28515625" bestFit="1" customWidth="1"/>
    <col min="17" max="17" width="21.28515625" bestFit="1" customWidth="1"/>
    <col min="18" max="18" width="64.7109375" bestFit="1" customWidth="1"/>
    <col min="19" max="19" width="28.140625" bestFit="1" customWidth="1"/>
    <col min="20" max="20" width="21" bestFit="1" customWidth="1"/>
    <col min="21" max="21" width="25.85546875" bestFit="1" customWidth="1"/>
    <col min="22" max="22" width="32.7109375" bestFit="1" customWidth="1"/>
    <col min="23" max="23" width="38.5703125" bestFit="1" customWidth="1"/>
    <col min="24" max="24" width="20.7109375" bestFit="1" customWidth="1"/>
    <col min="25" max="25" width="16.28515625" bestFit="1" customWidth="1"/>
    <col min="26" max="26" width="44.85546875" bestFit="1" customWidth="1"/>
    <col min="27" max="27" width="40.7109375" bestFit="1" customWidth="1"/>
    <col min="28" max="28" width="33" bestFit="1" customWidth="1"/>
    <col min="29" max="29" width="39.42578125" bestFit="1" customWidth="1"/>
    <col min="30" max="30" width="20.7109375" bestFit="1" customWidth="1"/>
    <col min="31" max="31" width="16.28515625" bestFit="1" customWidth="1"/>
    <col min="32" max="32" width="44.85546875" bestFit="1" customWidth="1"/>
    <col min="33" max="33" width="40.7109375" bestFit="1" customWidth="1"/>
    <col min="34" max="34" width="33.5703125" bestFit="1" customWidth="1"/>
    <col min="35" max="35" width="26.5703125" bestFit="1" customWidth="1"/>
    <col min="36" max="36" width="19.28515625" bestFit="1" customWidth="1"/>
  </cols>
  <sheetData>
    <row r="1" spans="1:36" ht="18.75" x14ac:dyDescent="0.3">
      <c r="A1" s="32" t="s">
        <v>4</v>
      </c>
      <c r="B1" s="33" t="s">
        <v>49</v>
      </c>
      <c r="C1" s="32" t="s">
        <v>50</v>
      </c>
      <c r="D1" s="34" t="s">
        <v>51</v>
      </c>
      <c r="E1" s="32" t="s">
        <v>52</v>
      </c>
      <c r="F1" s="34" t="s">
        <v>53</v>
      </c>
      <c r="G1" s="32" t="s">
        <v>54</v>
      </c>
      <c r="H1" s="34" t="s">
        <v>55</v>
      </c>
      <c r="I1" s="32" t="s">
        <v>56</v>
      </c>
      <c r="J1" s="35" t="s">
        <v>57</v>
      </c>
      <c r="K1" s="32" t="s">
        <v>58</v>
      </c>
      <c r="L1" s="34" t="s">
        <v>59</v>
      </c>
      <c r="M1" s="32" t="s">
        <v>60</v>
      </c>
      <c r="N1" s="34" t="s">
        <v>61</v>
      </c>
      <c r="O1" s="32" t="s">
        <v>62</v>
      </c>
      <c r="P1" s="34" t="s">
        <v>63</v>
      </c>
      <c r="Q1" s="36" t="s">
        <v>64</v>
      </c>
      <c r="R1" s="35" t="s">
        <v>65</v>
      </c>
      <c r="S1" s="32" t="s">
        <v>66</v>
      </c>
      <c r="T1" s="34" t="s">
        <v>67</v>
      </c>
      <c r="U1" s="32" t="s">
        <v>68</v>
      </c>
      <c r="V1" s="35" t="s">
        <v>69</v>
      </c>
      <c r="W1" s="37" t="s">
        <v>70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s="37" t="s">
        <v>76</v>
      </c>
      <c r="AD1" t="s">
        <v>77</v>
      </c>
      <c r="AE1" t="s">
        <v>78</v>
      </c>
      <c r="AF1" t="s">
        <v>79</v>
      </c>
      <c r="AG1" t="s">
        <v>80</v>
      </c>
      <c r="AH1" t="s">
        <v>81</v>
      </c>
      <c r="AI1" t="s">
        <v>82</v>
      </c>
      <c r="AJ1" s="37" t="s">
        <v>83</v>
      </c>
    </row>
    <row r="2" spans="1:36" x14ac:dyDescent="0.25">
      <c r="A2">
        <v>2004</v>
      </c>
      <c r="B2" s="38">
        <v>12947815</v>
      </c>
      <c r="C2">
        <v>432914</v>
      </c>
      <c r="E2">
        <v>11478242</v>
      </c>
      <c r="G2">
        <v>0</v>
      </c>
      <c r="H2">
        <v>1008192</v>
      </c>
      <c r="I2">
        <v>28467</v>
      </c>
      <c r="J2">
        <v>7921660</v>
      </c>
      <c r="K2">
        <v>3200982</v>
      </c>
      <c r="L2">
        <v>2604092</v>
      </c>
      <c r="M2">
        <v>2007870</v>
      </c>
      <c r="N2">
        <v>729498</v>
      </c>
      <c r="O2">
        <v>108716</v>
      </c>
      <c r="P2">
        <v>0</v>
      </c>
      <c r="Q2">
        <v>20869475</v>
      </c>
      <c r="R2">
        <v>13191608</v>
      </c>
      <c r="S2">
        <v>1057635</v>
      </c>
      <c r="T2">
        <v>0</v>
      </c>
      <c r="U2">
        <v>1227253</v>
      </c>
      <c r="V2">
        <v>439706</v>
      </c>
      <c r="W2">
        <v>3237711</v>
      </c>
      <c r="X2">
        <v>0</v>
      </c>
      <c r="Y2">
        <v>2083536</v>
      </c>
      <c r="Z2">
        <v>0</v>
      </c>
      <c r="AA2">
        <v>0</v>
      </c>
      <c r="AB2">
        <v>1154175</v>
      </c>
      <c r="AC2">
        <v>4000450</v>
      </c>
      <c r="AD2">
        <v>3427296</v>
      </c>
      <c r="AE2">
        <v>247627</v>
      </c>
      <c r="AF2">
        <v>0</v>
      </c>
      <c r="AG2">
        <v>0</v>
      </c>
      <c r="AH2">
        <v>325527</v>
      </c>
      <c r="AI2">
        <v>0</v>
      </c>
      <c r="AJ2">
        <v>20869475</v>
      </c>
    </row>
    <row r="3" spans="1:36" x14ac:dyDescent="0.25">
      <c r="A3">
        <v>2005</v>
      </c>
      <c r="B3" s="38">
        <v>20885532</v>
      </c>
      <c r="C3">
        <v>704786</v>
      </c>
      <c r="E3">
        <v>18510754</v>
      </c>
      <c r="G3">
        <v>0</v>
      </c>
      <c r="H3">
        <v>1594763</v>
      </c>
      <c r="I3">
        <v>75229</v>
      </c>
      <c r="J3">
        <v>12518779</v>
      </c>
      <c r="K3">
        <v>6113237</v>
      </c>
      <c r="L3">
        <v>4827205</v>
      </c>
      <c r="M3">
        <v>1343640</v>
      </c>
      <c r="N3">
        <v>1126803</v>
      </c>
      <c r="O3">
        <v>145853</v>
      </c>
      <c r="P3">
        <v>88844</v>
      </c>
      <c r="Q3">
        <v>33404311</v>
      </c>
      <c r="R3">
        <v>16671837</v>
      </c>
      <c r="S3">
        <v>1057635</v>
      </c>
      <c r="T3">
        <v>0</v>
      </c>
      <c r="U3">
        <v>1227253</v>
      </c>
      <c r="V3">
        <v>2641152</v>
      </c>
      <c r="W3">
        <v>5553853</v>
      </c>
      <c r="X3">
        <v>0</v>
      </c>
      <c r="Y3">
        <v>3405978</v>
      </c>
      <c r="Z3">
        <v>0</v>
      </c>
      <c r="AA3">
        <v>0</v>
      </c>
      <c r="AB3">
        <v>2147875</v>
      </c>
      <c r="AC3">
        <v>8537469</v>
      </c>
      <c r="AD3">
        <v>6684050</v>
      </c>
      <c r="AE3">
        <v>1110819</v>
      </c>
      <c r="AF3">
        <v>0</v>
      </c>
      <c r="AG3">
        <v>0</v>
      </c>
      <c r="AH3">
        <v>742600</v>
      </c>
      <c r="AI3">
        <v>0</v>
      </c>
      <c r="AJ3">
        <v>33404311</v>
      </c>
    </row>
    <row r="4" spans="1:36" x14ac:dyDescent="0.25">
      <c r="A4">
        <v>2006</v>
      </c>
      <c r="B4" s="38">
        <v>27660798</v>
      </c>
      <c r="C4">
        <v>851209</v>
      </c>
      <c r="E4">
        <v>25199681</v>
      </c>
      <c r="G4">
        <v>0</v>
      </c>
      <c r="H4">
        <v>1327432</v>
      </c>
      <c r="I4">
        <v>282476</v>
      </c>
      <c r="J4">
        <v>17758286</v>
      </c>
      <c r="K4">
        <v>7398856</v>
      </c>
      <c r="L4">
        <v>6546713</v>
      </c>
      <c r="M4">
        <v>2660751</v>
      </c>
      <c r="N4">
        <v>2351320</v>
      </c>
      <c r="O4">
        <v>121358</v>
      </c>
      <c r="P4">
        <v>1030608</v>
      </c>
      <c r="Q4">
        <v>45419084</v>
      </c>
      <c r="R4">
        <v>18850940</v>
      </c>
      <c r="S4">
        <v>1057635</v>
      </c>
      <c r="T4">
        <v>0</v>
      </c>
      <c r="U4">
        <v>1227253</v>
      </c>
      <c r="V4">
        <v>2731623</v>
      </c>
      <c r="W4">
        <v>8958143</v>
      </c>
      <c r="X4">
        <v>0</v>
      </c>
      <c r="Y4">
        <v>6211193</v>
      </c>
      <c r="Z4">
        <v>0</v>
      </c>
      <c r="AA4">
        <v>0</v>
      </c>
      <c r="AB4">
        <v>2746950</v>
      </c>
      <c r="AC4">
        <v>14878378</v>
      </c>
      <c r="AD4">
        <v>8221395</v>
      </c>
      <c r="AE4">
        <v>4277912</v>
      </c>
      <c r="AF4">
        <v>0</v>
      </c>
      <c r="AG4">
        <v>0</v>
      </c>
      <c r="AH4">
        <v>2379071</v>
      </c>
      <c r="AI4">
        <v>0</v>
      </c>
      <c r="AJ4">
        <v>45419084</v>
      </c>
    </row>
    <row r="5" spans="1:36" x14ac:dyDescent="0.25">
      <c r="A5">
        <v>2007</v>
      </c>
      <c r="B5" s="38">
        <v>26736337</v>
      </c>
      <c r="C5">
        <v>616828</v>
      </c>
      <c r="E5">
        <v>24833925</v>
      </c>
      <c r="G5">
        <v>129206</v>
      </c>
      <c r="H5">
        <v>831729</v>
      </c>
      <c r="I5">
        <v>324649</v>
      </c>
      <c r="J5">
        <v>19366488</v>
      </c>
      <c r="K5">
        <v>10365409</v>
      </c>
      <c r="L5">
        <v>6999836</v>
      </c>
      <c r="M5">
        <v>1666189</v>
      </c>
      <c r="N5">
        <v>1498232</v>
      </c>
      <c r="O5">
        <v>146892</v>
      </c>
      <c r="P5">
        <v>188162</v>
      </c>
      <c r="Q5">
        <v>46102825</v>
      </c>
      <c r="R5">
        <v>19935335</v>
      </c>
      <c r="S5">
        <v>1057635</v>
      </c>
      <c r="T5">
        <v>0</v>
      </c>
      <c r="U5">
        <v>1227253</v>
      </c>
      <c r="V5">
        <v>2637425</v>
      </c>
      <c r="W5">
        <v>11091402</v>
      </c>
      <c r="X5">
        <v>0</v>
      </c>
      <c r="Y5">
        <v>8602721</v>
      </c>
      <c r="Z5">
        <v>0</v>
      </c>
      <c r="AA5">
        <v>0</v>
      </c>
      <c r="AB5">
        <v>2488681</v>
      </c>
      <c r="AC5">
        <v>12438663</v>
      </c>
      <c r="AD5">
        <v>9181243</v>
      </c>
      <c r="AE5">
        <v>1719223</v>
      </c>
      <c r="AF5">
        <v>0</v>
      </c>
      <c r="AG5">
        <v>0</v>
      </c>
      <c r="AH5">
        <v>1538197</v>
      </c>
      <c r="AI5">
        <v>0</v>
      </c>
      <c r="AJ5">
        <v>46102825</v>
      </c>
    </row>
    <row r="6" spans="1:36" x14ac:dyDescent="0.25">
      <c r="A6">
        <v>2008</v>
      </c>
      <c r="B6" s="38">
        <v>29280856</v>
      </c>
      <c r="C6">
        <v>644681</v>
      </c>
      <c r="E6">
        <v>26268757</v>
      </c>
      <c r="G6">
        <v>87746</v>
      </c>
      <c r="H6">
        <v>1695063</v>
      </c>
      <c r="I6">
        <v>584609</v>
      </c>
      <c r="J6">
        <v>17694894</v>
      </c>
      <c r="K6">
        <v>9089047</v>
      </c>
      <c r="L6">
        <v>6748216</v>
      </c>
      <c r="M6">
        <v>1602056</v>
      </c>
      <c r="N6">
        <v>1344224</v>
      </c>
      <c r="O6">
        <v>204088</v>
      </c>
      <c r="P6">
        <v>51487</v>
      </c>
      <c r="Q6">
        <v>46975750</v>
      </c>
      <c r="R6">
        <v>17813091</v>
      </c>
      <c r="S6">
        <v>1057635</v>
      </c>
      <c r="T6">
        <v>0</v>
      </c>
      <c r="U6">
        <v>1227253</v>
      </c>
      <c r="V6">
        <v>2718556</v>
      </c>
      <c r="W6">
        <v>4634178</v>
      </c>
      <c r="X6">
        <v>0</v>
      </c>
      <c r="Y6">
        <v>2610651</v>
      </c>
      <c r="Z6">
        <v>0</v>
      </c>
      <c r="AA6">
        <v>0</v>
      </c>
      <c r="AB6">
        <v>2023527</v>
      </c>
      <c r="AC6">
        <v>21809925</v>
      </c>
      <c r="AD6">
        <v>8377167</v>
      </c>
      <c r="AE6">
        <v>11282114</v>
      </c>
      <c r="AF6">
        <v>0</v>
      </c>
      <c r="AG6">
        <v>0</v>
      </c>
      <c r="AH6">
        <v>2150644</v>
      </c>
      <c r="AI6">
        <v>0</v>
      </c>
      <c r="AJ6">
        <v>46975750</v>
      </c>
    </row>
    <row r="7" spans="1:36" x14ac:dyDescent="0.25">
      <c r="A7">
        <v>2009</v>
      </c>
      <c r="B7" s="38">
        <v>29655024</v>
      </c>
      <c r="C7">
        <v>690376</v>
      </c>
      <c r="E7">
        <v>27070437</v>
      </c>
      <c r="G7">
        <v>46947</v>
      </c>
      <c r="H7">
        <v>1532706</v>
      </c>
      <c r="I7">
        <v>314558</v>
      </c>
      <c r="J7">
        <v>19433046</v>
      </c>
      <c r="K7">
        <v>10619859</v>
      </c>
      <c r="L7">
        <v>5451518</v>
      </c>
      <c r="M7">
        <v>3122044</v>
      </c>
      <c r="N7">
        <v>2941039</v>
      </c>
      <c r="O7">
        <v>207447</v>
      </c>
      <c r="P7">
        <v>32178</v>
      </c>
      <c r="Q7">
        <v>49088070</v>
      </c>
      <c r="R7">
        <v>19037903</v>
      </c>
      <c r="S7">
        <v>1057635</v>
      </c>
      <c r="T7">
        <v>0</v>
      </c>
      <c r="U7">
        <v>1227253</v>
      </c>
      <c r="V7">
        <v>2669308</v>
      </c>
      <c r="W7">
        <v>13223343</v>
      </c>
      <c r="X7">
        <v>0</v>
      </c>
      <c r="Y7">
        <v>11610532</v>
      </c>
      <c r="Z7">
        <v>0</v>
      </c>
      <c r="AA7">
        <v>0</v>
      </c>
      <c r="AB7">
        <v>1612811</v>
      </c>
      <c r="AC7">
        <v>14157516</v>
      </c>
      <c r="AD7">
        <v>11494542</v>
      </c>
      <c r="AE7">
        <v>1593695</v>
      </c>
      <c r="AF7">
        <v>0</v>
      </c>
      <c r="AG7">
        <v>0</v>
      </c>
      <c r="AH7">
        <v>1069279</v>
      </c>
      <c r="AI7">
        <v>0</v>
      </c>
      <c r="AJ7">
        <v>49088070</v>
      </c>
    </row>
    <row r="8" spans="1:36" x14ac:dyDescent="0.25">
      <c r="A8">
        <v>2010</v>
      </c>
      <c r="B8" s="38">
        <v>30430874</v>
      </c>
      <c r="C8">
        <v>1199063</v>
      </c>
      <c r="E8">
        <v>27403013</v>
      </c>
      <c r="G8">
        <v>49130</v>
      </c>
      <c r="H8">
        <v>1615775</v>
      </c>
      <c r="I8">
        <v>163893</v>
      </c>
      <c r="J8">
        <v>20718918</v>
      </c>
      <c r="K8">
        <v>11294851</v>
      </c>
      <c r="L8">
        <v>6337075</v>
      </c>
      <c r="M8">
        <v>3045343</v>
      </c>
      <c r="N8">
        <v>2820742</v>
      </c>
      <c r="O8">
        <v>0</v>
      </c>
      <c r="P8">
        <v>41649</v>
      </c>
      <c r="Q8">
        <v>51149792</v>
      </c>
      <c r="R8">
        <v>21627938</v>
      </c>
      <c r="S8">
        <v>1057635</v>
      </c>
      <c r="T8">
        <v>0</v>
      </c>
      <c r="U8">
        <v>1227253</v>
      </c>
      <c r="V8">
        <v>2612015</v>
      </c>
      <c r="W8">
        <v>10667861</v>
      </c>
      <c r="X8">
        <v>0</v>
      </c>
      <c r="Y8">
        <v>9123987</v>
      </c>
      <c r="Z8">
        <v>0</v>
      </c>
      <c r="AA8">
        <v>0</v>
      </c>
      <c r="AB8">
        <v>1543874</v>
      </c>
      <c r="AC8">
        <v>16241978</v>
      </c>
      <c r="AD8">
        <v>13435998</v>
      </c>
      <c r="AE8">
        <v>1543740</v>
      </c>
      <c r="AF8">
        <v>0</v>
      </c>
      <c r="AG8">
        <v>0</v>
      </c>
      <c r="AH8">
        <v>1262240</v>
      </c>
      <c r="AI8">
        <v>0</v>
      </c>
      <c r="AJ8">
        <v>51149792</v>
      </c>
    </row>
    <row r="9" spans="1:36" x14ac:dyDescent="0.25">
      <c r="A9">
        <v>2011</v>
      </c>
      <c r="B9" s="38">
        <v>28599141</v>
      </c>
      <c r="C9">
        <v>1418708</v>
      </c>
      <c r="E9">
        <v>26578651</v>
      </c>
      <c r="G9">
        <v>30966</v>
      </c>
      <c r="H9">
        <v>171290</v>
      </c>
      <c r="I9">
        <v>399526</v>
      </c>
      <c r="J9">
        <v>30132337</v>
      </c>
      <c r="K9">
        <v>16296517</v>
      </c>
      <c r="L9">
        <v>8104695</v>
      </c>
      <c r="M9">
        <v>5702600</v>
      </c>
      <c r="N9">
        <v>5409166</v>
      </c>
      <c r="O9">
        <v>0</v>
      </c>
      <c r="P9">
        <v>28525</v>
      </c>
      <c r="Q9">
        <v>58731478</v>
      </c>
      <c r="R9">
        <v>24533773</v>
      </c>
      <c r="S9">
        <v>1057635</v>
      </c>
      <c r="T9">
        <v>0</v>
      </c>
      <c r="U9">
        <v>1227253</v>
      </c>
      <c r="V9">
        <v>2264910</v>
      </c>
      <c r="W9">
        <v>12120002</v>
      </c>
      <c r="X9">
        <v>0</v>
      </c>
      <c r="Y9">
        <v>10537792</v>
      </c>
      <c r="Z9">
        <v>0</v>
      </c>
      <c r="AA9">
        <v>0</v>
      </c>
      <c r="AB9">
        <v>1582210</v>
      </c>
      <c r="AC9">
        <v>19812793</v>
      </c>
      <c r="AD9">
        <v>15092524</v>
      </c>
      <c r="AE9">
        <v>2459799</v>
      </c>
      <c r="AF9">
        <v>0</v>
      </c>
      <c r="AG9">
        <v>0</v>
      </c>
      <c r="AH9">
        <v>2260470</v>
      </c>
      <c r="AI9">
        <v>0</v>
      </c>
      <c r="AJ9">
        <v>58731478</v>
      </c>
    </row>
    <row r="10" spans="1:36" x14ac:dyDescent="0.25">
      <c r="A10">
        <v>2012</v>
      </c>
      <c r="B10" s="38">
        <v>26810637</v>
      </c>
      <c r="C10">
        <v>1545077</v>
      </c>
      <c r="E10">
        <v>24743734</v>
      </c>
      <c r="G10">
        <v>54865</v>
      </c>
      <c r="H10">
        <v>170022</v>
      </c>
      <c r="I10">
        <v>296939</v>
      </c>
      <c r="J10">
        <v>25820143</v>
      </c>
      <c r="K10">
        <v>15011047</v>
      </c>
      <c r="L10">
        <v>8164927</v>
      </c>
      <c r="M10">
        <v>2579550</v>
      </c>
      <c r="N10">
        <v>2211425</v>
      </c>
      <c r="O10">
        <v>0</v>
      </c>
      <c r="P10">
        <v>64619</v>
      </c>
      <c r="Q10">
        <v>52630780</v>
      </c>
      <c r="R10">
        <v>26479187</v>
      </c>
      <c r="S10">
        <v>1057635</v>
      </c>
      <c r="T10">
        <v>0</v>
      </c>
      <c r="U10">
        <v>1227253</v>
      </c>
      <c r="V10">
        <v>1827646</v>
      </c>
      <c r="W10">
        <v>9196658</v>
      </c>
      <c r="X10">
        <v>0</v>
      </c>
      <c r="Y10">
        <v>7678446</v>
      </c>
      <c r="Z10">
        <v>0</v>
      </c>
      <c r="AA10">
        <v>0</v>
      </c>
      <c r="AB10">
        <v>1518212</v>
      </c>
      <c r="AC10">
        <v>15127289</v>
      </c>
      <c r="AD10">
        <v>12655891</v>
      </c>
      <c r="AE10">
        <v>1294641</v>
      </c>
      <c r="AF10">
        <v>0</v>
      </c>
      <c r="AG10">
        <v>0</v>
      </c>
      <c r="AH10">
        <v>1176757</v>
      </c>
      <c r="AI10">
        <v>0</v>
      </c>
      <c r="AJ10">
        <v>52630780</v>
      </c>
    </row>
    <row r="11" spans="1:36" x14ac:dyDescent="0.25">
      <c r="A11">
        <v>2013</v>
      </c>
      <c r="B11" s="38">
        <v>26907000</v>
      </c>
      <c r="C11">
        <v>944000</v>
      </c>
      <c r="E11">
        <v>25294000</v>
      </c>
      <c r="G11">
        <v>0</v>
      </c>
      <c r="H11">
        <v>172000</v>
      </c>
      <c r="I11">
        <v>497000</v>
      </c>
      <c r="J11">
        <v>24445000</v>
      </c>
      <c r="K11">
        <v>13749000</v>
      </c>
      <c r="L11">
        <v>7827000</v>
      </c>
      <c r="M11">
        <v>2854000</v>
      </c>
      <c r="N11">
        <v>2893000</v>
      </c>
      <c r="O11">
        <v>0</v>
      </c>
      <c r="P11">
        <v>15000</v>
      </c>
      <c r="Q11">
        <v>51352000</v>
      </c>
      <c r="R11">
        <v>25948000</v>
      </c>
      <c r="S11">
        <v>1058000</v>
      </c>
      <c r="T11">
        <v>0</v>
      </c>
      <c r="U11">
        <v>1227000</v>
      </c>
      <c r="V11">
        <v>1603000</v>
      </c>
      <c r="W11">
        <v>7846000</v>
      </c>
      <c r="X11">
        <v>0</v>
      </c>
      <c r="Y11">
        <v>6603000</v>
      </c>
      <c r="Z11">
        <v>0</v>
      </c>
      <c r="AA11">
        <v>0</v>
      </c>
      <c r="AB11">
        <v>1243000</v>
      </c>
      <c r="AC11">
        <v>15955000</v>
      </c>
      <c r="AD11">
        <v>14143000</v>
      </c>
      <c r="AE11">
        <v>911000</v>
      </c>
      <c r="AF11">
        <v>0</v>
      </c>
      <c r="AG11">
        <v>0</v>
      </c>
      <c r="AH11">
        <v>901000</v>
      </c>
      <c r="AI11">
        <v>0</v>
      </c>
      <c r="AJ11">
        <v>51352000</v>
      </c>
    </row>
    <row r="12" spans="1:36" x14ac:dyDescent="0.25">
      <c r="A12">
        <v>2014</v>
      </c>
      <c r="B12" s="38">
        <v>24971000</v>
      </c>
      <c r="C12">
        <v>792000</v>
      </c>
      <c r="E12">
        <v>22644000</v>
      </c>
      <c r="G12">
        <v>0</v>
      </c>
      <c r="H12">
        <v>823000</v>
      </c>
      <c r="I12">
        <v>712000</v>
      </c>
      <c r="J12">
        <v>21754000</v>
      </c>
      <c r="K12">
        <v>9829000</v>
      </c>
      <c r="L12">
        <v>7092000</v>
      </c>
      <c r="M12">
        <v>4799000</v>
      </c>
      <c r="N12">
        <v>3937000</v>
      </c>
      <c r="O12">
        <v>0</v>
      </c>
      <c r="P12">
        <v>34000</v>
      </c>
      <c r="Q12">
        <v>46725000</v>
      </c>
      <c r="R12">
        <v>18771000</v>
      </c>
      <c r="S12">
        <v>1058000</v>
      </c>
      <c r="T12">
        <v>0</v>
      </c>
      <c r="U12">
        <v>1227000</v>
      </c>
      <c r="V12">
        <v>1615000</v>
      </c>
      <c r="W12">
        <v>12305000</v>
      </c>
      <c r="X12">
        <v>0</v>
      </c>
      <c r="Y12">
        <v>9670000</v>
      </c>
      <c r="Z12">
        <v>0</v>
      </c>
      <c r="AA12">
        <v>0</v>
      </c>
      <c r="AB12">
        <v>2635000</v>
      </c>
      <c r="AC12">
        <v>14034000</v>
      </c>
      <c r="AD12">
        <v>11215000</v>
      </c>
      <c r="AE12">
        <v>987000</v>
      </c>
      <c r="AF12">
        <v>0</v>
      </c>
      <c r="AG12">
        <v>1020000</v>
      </c>
      <c r="AH12">
        <v>812000</v>
      </c>
      <c r="AI12">
        <v>0</v>
      </c>
      <c r="AJ12">
        <v>46725000</v>
      </c>
    </row>
    <row r="13" spans="1:36" x14ac:dyDescent="0.25">
      <c r="A13">
        <v>2015</v>
      </c>
      <c r="B13" s="38">
        <v>27362000</v>
      </c>
      <c r="C13">
        <v>1397000</v>
      </c>
      <c r="E13">
        <v>24536000</v>
      </c>
      <c r="G13">
        <v>0</v>
      </c>
      <c r="H13">
        <v>917000</v>
      </c>
      <c r="I13">
        <v>512000</v>
      </c>
      <c r="J13">
        <v>20775000</v>
      </c>
      <c r="K13">
        <v>10715000</v>
      </c>
      <c r="L13">
        <v>6641000</v>
      </c>
      <c r="M13">
        <v>3322000</v>
      </c>
      <c r="N13">
        <v>2348000</v>
      </c>
      <c r="O13">
        <v>0</v>
      </c>
      <c r="P13">
        <v>97000</v>
      </c>
      <c r="Q13">
        <v>48137000</v>
      </c>
      <c r="R13">
        <v>22173000</v>
      </c>
      <c r="S13">
        <v>1058000</v>
      </c>
      <c r="T13">
        <v>0</v>
      </c>
      <c r="U13">
        <v>1227000</v>
      </c>
      <c r="V13">
        <v>2071000</v>
      </c>
      <c r="W13">
        <v>10227000</v>
      </c>
      <c r="X13">
        <v>0</v>
      </c>
      <c r="Y13">
        <v>8131000</v>
      </c>
      <c r="Z13">
        <v>0</v>
      </c>
      <c r="AA13">
        <v>0</v>
      </c>
      <c r="AB13">
        <v>2096000</v>
      </c>
      <c r="AC13">
        <v>13666000</v>
      </c>
      <c r="AD13">
        <v>10658000</v>
      </c>
      <c r="AE13">
        <v>1027000</v>
      </c>
      <c r="AF13">
        <v>0</v>
      </c>
      <c r="AG13">
        <v>870000</v>
      </c>
      <c r="AH13">
        <v>1111000</v>
      </c>
      <c r="AI13">
        <v>0</v>
      </c>
      <c r="AJ13">
        <v>48137000</v>
      </c>
    </row>
    <row r="14" spans="1:36" x14ac:dyDescent="0.25">
      <c r="A14">
        <v>2016</v>
      </c>
      <c r="B14" s="38">
        <v>30321000</v>
      </c>
      <c r="C14">
        <v>1377000</v>
      </c>
      <c r="E14">
        <v>27671000</v>
      </c>
      <c r="G14">
        <v>0</v>
      </c>
      <c r="H14">
        <v>862000</v>
      </c>
      <c r="I14">
        <v>411000</v>
      </c>
      <c r="J14">
        <v>25238000</v>
      </c>
      <c r="K14">
        <v>11182000</v>
      </c>
      <c r="L14">
        <v>8674000</v>
      </c>
      <c r="M14">
        <v>5321000</v>
      </c>
      <c r="N14">
        <v>5072000</v>
      </c>
      <c r="O14">
        <v>0</v>
      </c>
      <c r="P14">
        <v>61000</v>
      </c>
      <c r="Q14">
        <v>55559000</v>
      </c>
      <c r="R14">
        <v>26764000</v>
      </c>
      <c r="S14">
        <v>1058000</v>
      </c>
      <c r="T14">
        <v>0</v>
      </c>
      <c r="U14">
        <v>1227000</v>
      </c>
      <c r="V14">
        <v>2522000</v>
      </c>
      <c r="W14">
        <v>9652000</v>
      </c>
      <c r="X14">
        <v>0</v>
      </c>
      <c r="Y14">
        <v>7446000</v>
      </c>
      <c r="Z14">
        <v>0</v>
      </c>
      <c r="AA14">
        <v>0</v>
      </c>
      <c r="AB14">
        <v>2206000</v>
      </c>
      <c r="AC14">
        <v>16621000</v>
      </c>
      <c r="AD14">
        <v>14250000</v>
      </c>
      <c r="AE14">
        <v>989000</v>
      </c>
      <c r="AF14">
        <v>0</v>
      </c>
      <c r="AG14">
        <v>572000</v>
      </c>
      <c r="AH14">
        <v>810000</v>
      </c>
      <c r="AI14">
        <v>0</v>
      </c>
      <c r="AJ14">
        <v>55559000</v>
      </c>
    </row>
    <row r="15" spans="1:36" x14ac:dyDescent="0.25">
      <c r="A15">
        <v>2017</v>
      </c>
      <c r="B15" s="38">
        <v>31740000</v>
      </c>
      <c r="C15">
        <v>1272000</v>
      </c>
      <c r="E15">
        <v>29071000</v>
      </c>
      <c r="G15">
        <v>0</v>
      </c>
      <c r="H15">
        <v>1061000</v>
      </c>
      <c r="I15">
        <v>336000</v>
      </c>
      <c r="J15">
        <v>28924000</v>
      </c>
      <c r="K15">
        <v>12440000</v>
      </c>
      <c r="L15">
        <v>9598000</v>
      </c>
      <c r="M15">
        <v>6678000</v>
      </c>
      <c r="N15">
        <v>6244000</v>
      </c>
      <c r="O15">
        <v>133000</v>
      </c>
      <c r="P15">
        <v>75000</v>
      </c>
      <c r="Q15">
        <v>60664000</v>
      </c>
      <c r="R15">
        <v>32197000</v>
      </c>
      <c r="S15">
        <v>1058000</v>
      </c>
      <c r="T15">
        <v>0</v>
      </c>
      <c r="U15">
        <v>1227000</v>
      </c>
      <c r="V15">
        <v>3014000</v>
      </c>
      <c r="W15">
        <v>9071000</v>
      </c>
      <c r="X15">
        <v>0</v>
      </c>
      <c r="Y15">
        <v>6688000</v>
      </c>
      <c r="Z15">
        <v>0</v>
      </c>
      <c r="AA15">
        <v>0</v>
      </c>
      <c r="AB15">
        <v>2383000</v>
      </c>
      <c r="AC15">
        <v>16382000</v>
      </c>
      <c r="AD15">
        <v>14469000</v>
      </c>
      <c r="AE15">
        <v>317000</v>
      </c>
      <c r="AF15">
        <v>0</v>
      </c>
      <c r="AG15">
        <v>0</v>
      </c>
      <c r="AH15">
        <v>1596000</v>
      </c>
      <c r="AI15">
        <v>0</v>
      </c>
      <c r="AJ15">
        <v>60664000</v>
      </c>
    </row>
    <row r="16" spans="1:36" x14ac:dyDescent="0.25">
      <c r="A16">
        <v>2018</v>
      </c>
      <c r="B16" s="38">
        <v>33867000</v>
      </c>
      <c r="C16">
        <v>1323000</v>
      </c>
      <c r="E16">
        <v>31325000</v>
      </c>
      <c r="G16">
        <v>0</v>
      </c>
      <c r="H16">
        <v>811000</v>
      </c>
      <c r="I16">
        <v>408000</v>
      </c>
      <c r="J16">
        <v>30164000</v>
      </c>
      <c r="K16">
        <v>14317000</v>
      </c>
      <c r="L16">
        <v>10593000</v>
      </c>
      <c r="M16">
        <v>4716000</v>
      </c>
      <c r="N16">
        <v>4192000</v>
      </c>
      <c r="O16">
        <v>336000</v>
      </c>
      <c r="P16">
        <v>202000</v>
      </c>
      <c r="Q16">
        <v>64031000</v>
      </c>
      <c r="R16">
        <v>35634000</v>
      </c>
      <c r="S16">
        <v>1058000</v>
      </c>
      <c r="T16">
        <v>0</v>
      </c>
      <c r="U16">
        <v>1227000</v>
      </c>
      <c r="V16">
        <v>12000</v>
      </c>
      <c r="W16">
        <v>11487000</v>
      </c>
      <c r="X16">
        <v>0</v>
      </c>
      <c r="Y16">
        <v>8598000</v>
      </c>
      <c r="Z16">
        <v>0</v>
      </c>
      <c r="AA16">
        <v>0</v>
      </c>
      <c r="AB16">
        <v>2889000</v>
      </c>
      <c r="AC16">
        <v>16898000</v>
      </c>
      <c r="AD16">
        <v>13699000</v>
      </c>
      <c r="AE16">
        <v>1193000</v>
      </c>
      <c r="AF16">
        <v>0</v>
      </c>
      <c r="AG16">
        <v>0</v>
      </c>
      <c r="AH16">
        <v>2006000</v>
      </c>
      <c r="AI16">
        <v>0</v>
      </c>
      <c r="AJ16">
        <v>64031000</v>
      </c>
    </row>
    <row r="17" spans="1:36" x14ac:dyDescent="0.25">
      <c r="A17">
        <v>2019</v>
      </c>
      <c r="B17" s="38">
        <v>39277000</v>
      </c>
      <c r="C17">
        <v>1600000</v>
      </c>
      <c r="E17">
        <v>36304000</v>
      </c>
      <c r="G17">
        <v>13000</v>
      </c>
      <c r="H17">
        <v>988000</v>
      </c>
      <c r="I17">
        <v>372000</v>
      </c>
      <c r="J17">
        <v>31925000</v>
      </c>
      <c r="K17">
        <v>15074000</v>
      </c>
      <c r="L17">
        <v>9945000</v>
      </c>
      <c r="M17">
        <v>6402000</v>
      </c>
      <c r="N17">
        <v>6159000</v>
      </c>
      <c r="O17">
        <v>466000</v>
      </c>
      <c r="P17">
        <v>38000</v>
      </c>
      <c r="Q17">
        <v>71202000</v>
      </c>
      <c r="R17">
        <v>38596000</v>
      </c>
      <c r="S17">
        <v>1058000</v>
      </c>
      <c r="T17">
        <v>0</v>
      </c>
      <c r="U17">
        <v>1227000</v>
      </c>
      <c r="V17">
        <v>11000</v>
      </c>
      <c r="W17">
        <v>14315000</v>
      </c>
      <c r="X17">
        <v>0</v>
      </c>
      <c r="Y17">
        <v>8185000</v>
      </c>
      <c r="Z17">
        <v>0</v>
      </c>
      <c r="AA17">
        <v>3380000</v>
      </c>
      <c r="AB17">
        <v>2750000</v>
      </c>
      <c r="AC17">
        <v>18280000</v>
      </c>
      <c r="AD17">
        <v>15132000</v>
      </c>
      <c r="AE17">
        <v>422000</v>
      </c>
      <c r="AF17">
        <v>0</v>
      </c>
      <c r="AG17">
        <v>618000</v>
      </c>
      <c r="AH17">
        <v>2108000</v>
      </c>
      <c r="AI17">
        <v>0</v>
      </c>
      <c r="AJ17">
        <v>71202000</v>
      </c>
    </row>
    <row r="18" spans="1:36" x14ac:dyDescent="0.25">
      <c r="A18">
        <v>2020</v>
      </c>
      <c r="B18" s="38">
        <v>59212000</v>
      </c>
      <c r="C18">
        <v>2534000</v>
      </c>
      <c r="E18">
        <v>54639000</v>
      </c>
      <c r="G18">
        <v>2000</v>
      </c>
      <c r="H18">
        <v>934000</v>
      </c>
      <c r="I18">
        <v>1103000</v>
      </c>
      <c r="J18">
        <v>24615000</v>
      </c>
      <c r="K18">
        <v>12279000</v>
      </c>
      <c r="L18">
        <v>10089000</v>
      </c>
      <c r="M18">
        <v>1691000</v>
      </c>
      <c r="N18">
        <v>1240000</v>
      </c>
      <c r="O18">
        <v>530000</v>
      </c>
      <c r="P18">
        <v>26000</v>
      </c>
      <c r="Q18">
        <v>83827000</v>
      </c>
      <c r="R18">
        <v>41596000</v>
      </c>
      <c r="S18">
        <v>1058000</v>
      </c>
      <c r="T18">
        <v>0</v>
      </c>
      <c r="U18">
        <v>1227000</v>
      </c>
      <c r="V18">
        <v>783000</v>
      </c>
      <c r="W18">
        <v>18524000</v>
      </c>
      <c r="X18">
        <v>0</v>
      </c>
      <c r="Y18">
        <v>9430000</v>
      </c>
      <c r="Z18">
        <v>0</v>
      </c>
      <c r="AA18">
        <v>4501000</v>
      </c>
      <c r="AB18">
        <v>4593000</v>
      </c>
      <c r="AC18">
        <v>22924000</v>
      </c>
      <c r="AD18">
        <v>14024000</v>
      </c>
      <c r="AE18">
        <v>4930000</v>
      </c>
      <c r="AF18">
        <v>0</v>
      </c>
      <c r="AG18">
        <v>713000</v>
      </c>
      <c r="AH18">
        <v>3257000</v>
      </c>
      <c r="AI18">
        <v>0</v>
      </c>
      <c r="AJ18">
        <v>83827000</v>
      </c>
    </row>
    <row r="19" spans="1:36" x14ac:dyDescent="0.25">
      <c r="A19">
        <v>2021</v>
      </c>
      <c r="B19" s="38">
        <v>68706000</v>
      </c>
      <c r="C19">
        <v>4829000</v>
      </c>
      <c r="E19">
        <v>60965000</v>
      </c>
      <c r="G19">
        <v>0</v>
      </c>
      <c r="H19">
        <v>1468000</v>
      </c>
      <c r="I19">
        <v>1444000</v>
      </c>
      <c r="J19">
        <v>38048000</v>
      </c>
      <c r="K19">
        <v>18410000</v>
      </c>
      <c r="L19">
        <v>15170000</v>
      </c>
      <c r="M19">
        <v>4045000</v>
      </c>
      <c r="N19">
        <v>2896000</v>
      </c>
      <c r="O19">
        <v>423000</v>
      </c>
      <c r="P19">
        <v>0</v>
      </c>
      <c r="Q19">
        <v>106754000</v>
      </c>
      <c r="R19">
        <v>51707000</v>
      </c>
      <c r="S19">
        <v>1058000</v>
      </c>
      <c r="T19">
        <v>0</v>
      </c>
      <c r="U19">
        <v>1227000</v>
      </c>
      <c r="V19">
        <v>871000</v>
      </c>
      <c r="W19">
        <v>23883000</v>
      </c>
      <c r="X19">
        <v>0</v>
      </c>
      <c r="Y19">
        <v>13742000</v>
      </c>
      <c r="Z19">
        <v>0</v>
      </c>
      <c r="AA19">
        <v>4876000</v>
      </c>
      <c r="AB19">
        <v>5265000</v>
      </c>
      <c r="AC19">
        <v>30293000</v>
      </c>
      <c r="AD19">
        <v>19811000</v>
      </c>
      <c r="AE19">
        <v>1420000</v>
      </c>
      <c r="AF19">
        <v>0</v>
      </c>
      <c r="AG19">
        <v>679000</v>
      </c>
      <c r="AH19">
        <v>8383000</v>
      </c>
      <c r="AI19">
        <v>0</v>
      </c>
      <c r="AJ19">
        <v>106754000</v>
      </c>
    </row>
    <row r="20" spans="1:36" x14ac:dyDescent="0.25">
      <c r="A20">
        <v>2022</v>
      </c>
      <c r="B20" s="38">
        <v>153117000</v>
      </c>
      <c r="C20">
        <v>10878000</v>
      </c>
      <c r="E20">
        <v>131731000</v>
      </c>
      <c r="G20">
        <v>0</v>
      </c>
      <c r="H20">
        <v>4934000</v>
      </c>
      <c r="I20">
        <v>5574000</v>
      </c>
      <c r="J20">
        <v>119210000</v>
      </c>
      <c r="K20">
        <v>44779000</v>
      </c>
      <c r="L20">
        <v>37908000</v>
      </c>
      <c r="M20">
        <v>24757000</v>
      </c>
      <c r="N20">
        <v>21403000</v>
      </c>
      <c r="O20">
        <v>11766000</v>
      </c>
      <c r="P20">
        <v>0</v>
      </c>
      <c r="Q20">
        <v>272327000</v>
      </c>
      <c r="R20">
        <v>135948000</v>
      </c>
      <c r="S20">
        <v>1974000</v>
      </c>
      <c r="T20">
        <v>0</v>
      </c>
      <c r="U20">
        <v>46405000</v>
      </c>
      <c r="V20">
        <v>1011000</v>
      </c>
      <c r="W20">
        <v>41531000</v>
      </c>
      <c r="X20">
        <v>0</v>
      </c>
      <c r="Y20">
        <v>11973000</v>
      </c>
      <c r="Z20">
        <v>0</v>
      </c>
      <c r="AA20">
        <v>8842000</v>
      </c>
      <c r="AB20">
        <v>20716000</v>
      </c>
      <c r="AC20">
        <v>93837000</v>
      </c>
      <c r="AD20">
        <v>40257000</v>
      </c>
      <c r="AE20">
        <v>7252000</v>
      </c>
      <c r="AF20">
        <v>0</v>
      </c>
      <c r="AG20">
        <v>1422000</v>
      </c>
      <c r="AH20">
        <v>44906000</v>
      </c>
      <c r="AI20">
        <v>0</v>
      </c>
      <c r="AJ20">
        <v>272327000</v>
      </c>
    </row>
    <row r="21" spans="1:36" x14ac:dyDescent="0.25">
      <c r="A21">
        <v>2023</v>
      </c>
      <c r="B21" s="38">
        <v>170795000</v>
      </c>
      <c r="C21">
        <v>14150000</v>
      </c>
      <c r="E21">
        <v>148171000</v>
      </c>
      <c r="G21">
        <v>0</v>
      </c>
      <c r="H21">
        <v>3852000</v>
      </c>
      <c r="I21">
        <v>4622000</v>
      </c>
      <c r="J21">
        <v>93383000</v>
      </c>
      <c r="K21">
        <v>32794000</v>
      </c>
      <c r="L21">
        <v>41139000</v>
      </c>
      <c r="M21">
        <v>15899000</v>
      </c>
      <c r="N21">
        <v>13311000</v>
      </c>
      <c r="O21">
        <v>3309000</v>
      </c>
      <c r="P21">
        <v>242000</v>
      </c>
      <c r="Q21">
        <v>264178000</v>
      </c>
      <c r="R21">
        <v>152082000</v>
      </c>
      <c r="S21">
        <v>1974000</v>
      </c>
      <c r="U21">
        <v>46405000</v>
      </c>
      <c r="V21">
        <v>1098000</v>
      </c>
      <c r="W21">
        <v>41616000</v>
      </c>
      <c r="X21">
        <v>0</v>
      </c>
      <c r="Y21">
        <v>10671000</v>
      </c>
      <c r="Z21">
        <v>0</v>
      </c>
      <c r="AA21">
        <v>9343000</v>
      </c>
      <c r="AB21">
        <v>21602000</v>
      </c>
      <c r="AC21">
        <v>69382000</v>
      </c>
      <c r="AD21">
        <v>41509000</v>
      </c>
      <c r="AE21">
        <v>4496000</v>
      </c>
      <c r="AF21">
        <v>0</v>
      </c>
      <c r="AG21">
        <v>1386000</v>
      </c>
      <c r="AH21">
        <v>21991000</v>
      </c>
      <c r="AI21">
        <v>0</v>
      </c>
      <c r="AJ21">
        <v>264178000</v>
      </c>
    </row>
    <row r="22" spans="1:36" x14ac:dyDescent="0.25">
      <c r="A22">
        <v>2024</v>
      </c>
      <c r="B22" s="38">
        <v>194098000</v>
      </c>
      <c r="C22">
        <v>11552000</v>
      </c>
      <c r="E22">
        <v>163064000</v>
      </c>
      <c r="G22">
        <v>0</v>
      </c>
      <c r="H22">
        <v>3458000</v>
      </c>
      <c r="I22">
        <v>16024000</v>
      </c>
      <c r="J22">
        <v>68644000</v>
      </c>
      <c r="K22">
        <v>21162000</v>
      </c>
      <c r="L22">
        <v>32720000</v>
      </c>
      <c r="M22">
        <v>12585000</v>
      </c>
      <c r="N22">
        <v>11042000</v>
      </c>
      <c r="O22">
        <v>2025000</v>
      </c>
      <c r="P22">
        <v>152000</v>
      </c>
      <c r="Q22">
        <v>262742000</v>
      </c>
      <c r="R22">
        <v>152214000</v>
      </c>
      <c r="S22">
        <v>1974000</v>
      </c>
      <c r="T22">
        <v>0</v>
      </c>
      <c r="U22">
        <v>46405000</v>
      </c>
      <c r="V22">
        <v>1048000</v>
      </c>
      <c r="W22">
        <v>49208000</v>
      </c>
      <c r="X22">
        <v>15091000</v>
      </c>
      <c r="Y22">
        <v>9925000</v>
      </c>
      <c r="Z22">
        <v>24192000</v>
      </c>
      <c r="AA22">
        <v>60272000</v>
      </c>
      <c r="AB22">
        <v>41172000</v>
      </c>
      <c r="AC22">
        <v>60272000</v>
      </c>
      <c r="AD22">
        <v>1470000</v>
      </c>
      <c r="AE22">
        <v>14575000</v>
      </c>
      <c r="AF22">
        <v>0</v>
      </c>
      <c r="AG22">
        <v>262742000</v>
      </c>
      <c r="AH22">
        <v>14575000</v>
      </c>
      <c r="AI22">
        <v>0</v>
      </c>
      <c r="AJ22">
        <v>262742000</v>
      </c>
    </row>
    <row r="23" spans="1:36" x14ac:dyDescent="0.25">
      <c r="B23" s="38"/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0B89D-3979-4FD5-AF73-B696D00812B0}">
  <sheetPr codeName="Sheet1"/>
  <dimension ref="A1:V23"/>
  <sheetViews>
    <sheetView showGridLines="0" showRowColHeaders="0" tabSelected="1" zoomScaleNormal="100" workbookViewId="0">
      <selection activeCell="H4" sqref="H4"/>
    </sheetView>
  </sheetViews>
  <sheetFormatPr defaultRowHeight="15" x14ac:dyDescent="0.25"/>
  <cols>
    <col min="3" max="3" width="23.85546875" customWidth="1"/>
    <col min="6" max="6" width="11.5703125" customWidth="1"/>
    <col min="7" max="7" width="1" customWidth="1"/>
    <col min="8" max="8" width="79.42578125" customWidth="1"/>
    <col min="9" max="9" width="8.140625" customWidth="1"/>
    <col min="10" max="10" width="52.42578125" customWidth="1"/>
    <col min="11" max="11" width="52.5703125" customWidth="1"/>
  </cols>
  <sheetData>
    <row r="1" spans="1:22" x14ac:dyDescent="0.25">
      <c r="A1" s="45" t="s">
        <v>84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</row>
    <row r="2" spans="1:22" ht="15.75" thickBot="1" x14ac:dyDescent="0.3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</row>
    <row r="3" spans="1:22" ht="24" x14ac:dyDescent="0.25">
      <c r="C3" s="28" t="s">
        <v>85</v>
      </c>
      <c r="H3" s="28" t="s">
        <v>86</v>
      </c>
      <c r="J3" s="28" t="s">
        <v>87</v>
      </c>
      <c r="K3" s="28" t="s">
        <v>88</v>
      </c>
    </row>
    <row r="4" spans="1:22" ht="21" x14ac:dyDescent="0.25">
      <c r="C4" s="29">
        <v>2022</v>
      </c>
      <c r="D4" s="4"/>
      <c r="E4" s="4"/>
      <c r="F4" s="4"/>
      <c r="G4" s="4"/>
      <c r="H4" s="29" t="s">
        <v>20</v>
      </c>
      <c r="I4" s="4"/>
      <c r="J4" s="29" t="s">
        <v>89</v>
      </c>
      <c r="K4" s="29" t="s">
        <v>90</v>
      </c>
    </row>
    <row r="23" spans="7:7" x14ac:dyDescent="0.25">
      <c r="G23" t="s">
        <v>91</v>
      </c>
    </row>
  </sheetData>
  <sheetProtection algorithmName="SHA-512" hashValue="uLqAN04jcCla9yUG0E+ZubcbdEMk3CU2JmicX+HnC2RhZZMQFHkE22/5d79vIV+eTk5TZMwpK2ODuHLP8Nc4LQ==" saltValue="97GlRoDBI9A2MTrcnB3wRw==" spinCount="100000" sheet="1" objects="1" scenarios="1" selectLockedCells="1"/>
  <mergeCells count="2">
    <mergeCell ref="A1:K2"/>
    <mergeCell ref="L1:V2"/>
  </mergeCells>
  <pageMargins left="0.7" right="0.7" top="0.75" bottom="0.75" header="0.3" footer="0.3"/>
  <pageSetup paperSize="9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3D52505-1EC5-4C32-B361-C4FC69E06148}">
          <x14:formula1>
            <xm:f>'Data Validation'!$Z$5:$Z$25</xm:f>
          </x14:formula1>
          <xm:sqref>C4</xm:sqref>
        </x14:dataValidation>
        <x14:dataValidation type="list" allowBlank="1" showInputMessage="1" showErrorMessage="1" xr:uid="{541AC9FB-8F1B-4840-9E5C-573469239DD2}">
          <x14:formula1>
            <xm:f>'Data Validation'!$C$2:$P$2</xm:f>
          </x14:formula1>
          <xm:sqref>J4</xm:sqref>
        </x14:dataValidation>
        <x14:dataValidation type="list" showInputMessage="1" showErrorMessage="1" xr:uid="{17D9D55E-E059-4BF9-B03D-8095B295BAA7}">
          <x14:formula1>
            <xm:f>'Data Validation'!$C$2:$Q$2</xm:f>
          </x14:formula1>
          <xm:sqref>K4</xm:sqref>
        </x14:dataValidation>
        <x14:dataValidation type="list" allowBlank="1" showInputMessage="1" showErrorMessage="1" xr:uid="{AE84D9AA-CDF3-440D-A9BB-471CD2BB52D7}">
          <x14:formula1>
            <xm:f>'Data Validation'!$X$27:$Z$27</xm:f>
          </x14:formula1>
          <xm:sqref>H4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FD90D-ECE8-427F-88E6-256B4DC11C59}">
  <sheetPr codeName="Sheet5"/>
  <dimension ref="B1:AL93"/>
  <sheetViews>
    <sheetView topLeftCell="A9" zoomScaleNormal="100" workbookViewId="0">
      <selection activeCell="C31" sqref="C31"/>
    </sheetView>
  </sheetViews>
  <sheetFormatPr defaultRowHeight="15" x14ac:dyDescent="0.25"/>
  <cols>
    <col min="2" max="2" width="15.85546875" bestFit="1" customWidth="1"/>
    <col min="3" max="3" width="13.42578125" bestFit="1" customWidth="1"/>
    <col min="4" max="4" width="31.28515625" bestFit="1" customWidth="1"/>
    <col min="5" max="5" width="28" bestFit="1" customWidth="1"/>
    <col min="6" max="6" width="36.5703125" bestFit="1" customWidth="1"/>
    <col min="7" max="7" width="19.7109375" bestFit="1" customWidth="1"/>
    <col min="8" max="8" width="22.140625" customWidth="1"/>
    <col min="9" max="9" width="11.5703125" bestFit="1" customWidth="1"/>
    <col min="10" max="10" width="43.28515625" bestFit="1" customWidth="1"/>
    <col min="11" max="11" width="15.5703125" bestFit="1" customWidth="1"/>
    <col min="12" max="12" width="18.7109375" bestFit="1" customWidth="1"/>
    <col min="13" max="13" width="14.28515625" bestFit="1" customWidth="1"/>
    <col min="14" max="14" width="18.28515625" bestFit="1" customWidth="1"/>
    <col min="15" max="15" width="16.7109375" bestFit="1" customWidth="1"/>
    <col min="17" max="17" width="43.7109375" bestFit="1" customWidth="1"/>
    <col min="22" max="22" width="18.7109375" bestFit="1" customWidth="1"/>
    <col min="24" max="24" width="14.28515625" bestFit="1" customWidth="1"/>
    <col min="25" max="25" width="18.28515625" customWidth="1"/>
    <col min="26" max="26" width="43.7109375" bestFit="1" customWidth="1"/>
    <col min="27" max="27" width="15.28515625" bestFit="1" customWidth="1"/>
    <col min="29" max="29" width="16.7109375" bestFit="1" customWidth="1"/>
    <col min="31" max="31" width="43.7109375" bestFit="1" customWidth="1"/>
    <col min="36" max="36" width="18.7109375" bestFit="1" customWidth="1"/>
  </cols>
  <sheetData>
    <row r="1" spans="2:38" x14ac:dyDescent="0.25">
      <c r="C1" s="44" t="s">
        <v>0</v>
      </c>
      <c r="D1" s="44"/>
      <c r="E1" s="44"/>
      <c r="F1" s="44"/>
      <c r="G1" s="44" t="s">
        <v>1</v>
      </c>
      <c r="H1" s="44"/>
      <c r="I1" s="44"/>
      <c r="J1" s="44" t="s">
        <v>2</v>
      </c>
      <c r="K1" s="44"/>
      <c r="L1" s="44"/>
      <c r="M1" s="44"/>
      <c r="N1" s="44" t="s">
        <v>3</v>
      </c>
      <c r="O1" s="44"/>
      <c r="P1" s="44"/>
    </row>
    <row r="2" spans="2:38" x14ac:dyDescent="0.25">
      <c r="B2" s="4" t="s">
        <v>4</v>
      </c>
      <c r="C2" s="4" t="s">
        <v>92</v>
      </c>
      <c r="D2" s="4" t="s">
        <v>93</v>
      </c>
      <c r="E2" s="10" t="s">
        <v>89</v>
      </c>
      <c r="F2" s="10" t="s">
        <v>8</v>
      </c>
      <c r="G2" s="10" t="s">
        <v>9</v>
      </c>
      <c r="H2" s="4" t="s">
        <v>10</v>
      </c>
      <c r="I2" s="4" t="s">
        <v>11</v>
      </c>
      <c r="J2" s="11" t="s">
        <v>94</v>
      </c>
      <c r="K2" s="14" t="s">
        <v>95</v>
      </c>
      <c r="L2" s="14" t="s">
        <v>90</v>
      </c>
      <c r="M2" s="13" t="s">
        <v>96</v>
      </c>
      <c r="N2" s="10" t="s">
        <v>16</v>
      </c>
      <c r="O2" s="12" t="s">
        <v>17</v>
      </c>
      <c r="P2" s="10" t="s">
        <v>18</v>
      </c>
      <c r="AA2" s="32" t="s">
        <v>97</v>
      </c>
      <c r="AB2" s="32"/>
      <c r="AC2" s="32" t="s">
        <v>97</v>
      </c>
      <c r="AD2" s="32"/>
      <c r="AE2" s="32" t="s">
        <v>97</v>
      </c>
      <c r="AF2" s="32"/>
    </row>
    <row r="3" spans="2:38" x14ac:dyDescent="0.25">
      <c r="B3">
        <v>2004</v>
      </c>
      <c r="C3" s="5">
        <f>(('[3]BR Bilans'!$W2+'[3]BR Bilans'!$AC2)/'[3]BR Bilans'!$Q2)*100</f>
        <v>34.683004723405837</v>
      </c>
      <c r="D3" s="5">
        <f>(('[3]BR Bilans'!$W2+'[3]BR Bilans'!$AC2)/('[3]BR Bilans'!$R2+'[3]BR Bilans'!$V2))*100</f>
        <v>53.09951043604454</v>
      </c>
      <c r="E3" s="2">
        <f>('[3]BR RZiS'!$O2+'[3]BR RZiS'!$K2)/'[3]BR RZiS'!$K2</f>
        <v>9.5616993300015274</v>
      </c>
      <c r="F3" s="2">
        <f>(('[3]BR Bilans'!$AC2+'[3]BR Bilans'!$W2)-'[3]BR Bilans'!$N2)/('[3]BR RZiS'!$I2+'[3]BR Rpp_Orlen'!$C2)</f>
        <v>1.6122839659235344</v>
      </c>
      <c r="G3" s="2">
        <f>'[3]BR Bilans'!$J2/'[3]BR Bilans'!$AC2</f>
        <v>1.9801922283743079</v>
      </c>
      <c r="H3" s="3">
        <f>('[3]BR Bilans'!$J2-'[3]BR Bilans'!$K2-'[3]BR Bilans'!$AI2)/'[3]BR Bilans'!$AC2</f>
        <v>1.1800367458660901</v>
      </c>
      <c r="I3" s="3">
        <f>'[3]BR Bilans'!$N2/'[3]BR Bilans'!$AC2</f>
        <v>0.18235398517666762</v>
      </c>
      <c r="J3" s="5">
        <f>(('[3]BR RZiS'!$I2/'[3]BR RZiS'!$B2))*100</f>
        <v>8.7564827096127438</v>
      </c>
      <c r="K3" s="5">
        <f>('[3]BR RZiS'!$Q2/'[3]BR Bilans'!$Q2)*100</f>
        <v>12.159366730595762</v>
      </c>
      <c r="L3" s="5">
        <f>('[3]BR RZiS'!$Q2/'[3]BR Bilans'!$R2)*100</f>
        <v>19.236441834839241</v>
      </c>
      <c r="M3" s="5">
        <f>('[3]BR RZiS'!$Q2/'[3]BR RZiS'!$B2)*100</f>
        <v>8.2710499302194247</v>
      </c>
      <c r="N3" s="2">
        <f>('[3]BR Bilans'!$L2/'[3]BR RZiS'!$B2)*365</f>
        <v>30.980423434356812</v>
      </c>
      <c r="O3" s="2">
        <f>('[3]BR Bilans'!$AC2/'[3]BR RZiS'!$B2)*365</f>
        <v>47.592648388756132</v>
      </c>
      <c r="P3" s="2">
        <f>('[3]BR Bilans'!$K2/'[3]BR RZiS'!$B2)*365</f>
        <v>38.081518535349112</v>
      </c>
      <c r="AA3" s="32">
        <f>_xlfn.XLOOKUP(rok,$Z$5:$Z$25,$AA$5:$AA$25,"No value")</f>
        <v>33.630000000000003</v>
      </c>
      <c r="AB3" s="32"/>
      <c r="AC3" s="32">
        <f>_xlfn.XLOOKUP(rok,$Z$5:$Z$25,$AC$5:$AC$25)</f>
        <v>272.33</v>
      </c>
      <c r="AD3" s="32"/>
      <c r="AE3" s="32">
        <f>_xlfn.XLOOKUP(rok,Z5:Z25,AE5:AE25)</f>
        <v>30.95</v>
      </c>
      <c r="AF3" s="32"/>
    </row>
    <row r="4" spans="2:38" ht="18.75" x14ac:dyDescent="0.25">
      <c r="B4">
        <v>2005</v>
      </c>
      <c r="C4" s="5">
        <f>(('[3]BR Bilans'!$W3+'[3]BR Bilans'!$AC3)/'[3]BR Bilans'!$Q3)*100</f>
        <v>42.184142040828206</v>
      </c>
      <c r="D4" s="5">
        <f>(('[3]BR Bilans'!$W3+'[3]BR Bilans'!$AC3)/('[3]BR Bilans'!$R3+'[3]BR Bilans'!$V3))*100</f>
        <v>72.962926660394203</v>
      </c>
      <c r="E4" s="2">
        <f>('[3]BR RZiS'!$O3+'[3]BR RZiS'!$K3)/'[3]BR RZiS'!$K3</f>
        <v>11.98110142754506</v>
      </c>
      <c r="F4" s="2">
        <f>(('[3]BR Bilans'!$AC3+'[3]BR Bilans'!$W3)-'[3]BR Bilans'!$N3)/('[3]BR RZiS'!$I3+'[3]BR Rpp_Orlen'!$C3)</f>
        <v>1.9270747925995204</v>
      </c>
      <c r="G4" s="2">
        <f>'[3]BR Bilans'!$J3/'[3]BR Bilans'!$AC3</f>
        <v>1.4663337576979782</v>
      </c>
      <c r="H4" s="3">
        <f>('[3]BR Bilans'!$J3-'[3]BR Bilans'!$K3-'[3]BR Bilans'!$AI3)/'[3]BR Bilans'!$AC3</f>
        <v>0.75028582827065027</v>
      </c>
      <c r="I4" s="3">
        <f>'[3]BR Bilans'!$N3/'[3]BR Bilans'!$AC3</f>
        <v>0.13198326108124081</v>
      </c>
      <c r="J4" s="5">
        <f>(('[3]BR RZiS'!$I3/'[3]BR RZiS'!$B3))*100</f>
        <v>12.012207262811032</v>
      </c>
      <c r="K4" s="5">
        <f>('[3]BR RZiS'!$Q3/'[3]BR Bilans'!$Q3)*100</f>
        <v>13.883764882921849</v>
      </c>
      <c r="L4" s="5">
        <f>('[3]BR RZiS'!$Q3/'[3]BR Bilans'!$R3)*100</f>
        <v>27.818026291883729</v>
      </c>
      <c r="M4" s="5">
        <f>('[3]BR RZiS'!$Q3/'[3]BR RZiS'!$B3)*100</f>
        <v>11.259944488560299</v>
      </c>
      <c r="N4" s="2">
        <f>('[3]BR Bilans'!$L3/'[3]BR RZiS'!$B3)*365</f>
        <v>42.77746924870619</v>
      </c>
      <c r="O4" s="2">
        <f>('[3]BR Bilans'!$AC3/'[3]BR RZiS'!$B3)*365</f>
        <v>75.656889982771062</v>
      </c>
      <c r="P4" s="2">
        <f>('[3]BR Bilans'!$K3/'[3]BR RZiS'!$B3)*365</f>
        <v>54.173959419074372</v>
      </c>
      <c r="AA4" s="9" t="s">
        <v>46</v>
      </c>
      <c r="AB4" s="9" t="s">
        <v>98</v>
      </c>
      <c r="AC4" s="15" t="s">
        <v>64</v>
      </c>
      <c r="AD4" s="15" t="s">
        <v>98</v>
      </c>
      <c r="AE4" s="9" t="s">
        <v>20</v>
      </c>
      <c r="AF4" s="19" t="s">
        <v>98</v>
      </c>
      <c r="AI4" t="s">
        <v>99</v>
      </c>
      <c r="AJ4" t="s">
        <v>100</v>
      </c>
    </row>
    <row r="5" spans="2:38" x14ac:dyDescent="0.25">
      <c r="B5">
        <v>2006</v>
      </c>
      <c r="C5" s="5">
        <f>(('[3]BR Bilans'!$W4+'[3]BR Bilans'!$AC4)/'[3]BR Bilans'!$Q4)*100</f>
        <v>52.48128958303078</v>
      </c>
      <c r="D5" s="5">
        <f>(('[3]BR Bilans'!$W4+'[3]BR Bilans'!$AC4)/('[3]BR Bilans'!$R4+'[3]BR Bilans'!$V4))*100</f>
        <v>110.44342138605133</v>
      </c>
      <c r="E5" s="2">
        <f>('[3]BR RZiS'!$O4+'[3]BR RZiS'!$K4)/'[3]BR RZiS'!$K4</f>
        <v>5.0685634981918142</v>
      </c>
      <c r="F5" s="2">
        <f>(('[3]BR Bilans'!$AC4+'[3]BR Bilans'!$W4)-'[3]BR Bilans'!$N4)/('[3]BR RZiS'!$I4+'[3]BR Rpp_Orlen'!$C4)</f>
        <v>4.5862157808746451</v>
      </c>
      <c r="G5" s="2">
        <f>'[3]BR Bilans'!$J4/'[3]BR Bilans'!$AC4</f>
        <v>1.193563303741846</v>
      </c>
      <c r="H5" s="3">
        <f>('[3]BR Bilans'!$J4-'[3]BR Bilans'!$K4-'[3]BR Bilans'!$AI4)/'[3]BR Bilans'!$AC4</f>
        <v>0.69627415031396567</v>
      </c>
      <c r="I5" s="3">
        <f>'[3]BR Bilans'!$N4/'[3]BR Bilans'!$AC4</f>
        <v>0.15803604398275134</v>
      </c>
      <c r="J5" s="5">
        <f>(('[3]BR RZiS'!$I4/'[3]BR RZiS'!$B4))*100</f>
        <v>4.8737355791699084</v>
      </c>
      <c r="K5" s="5">
        <f>('[3]BR RZiS'!$Q4/'[3]BR Bilans'!$Q4)*100</f>
        <v>4.5359743494606803</v>
      </c>
      <c r="L5" s="5">
        <f>('[3]BR RZiS'!$Q4/'[3]BR Bilans'!$R4)*100</f>
        <v>10.928887365828972</v>
      </c>
      <c r="M5" s="5">
        <f>('[3]BR RZiS'!$Q4/'[3]BR RZiS'!$B4)*100</f>
        <v>3.8969312327160046</v>
      </c>
      <c r="N5" s="2">
        <f>('[3]BR Bilans'!$L4/'[3]BR RZiS'!$B4)*365</f>
        <v>45.199116695990774</v>
      </c>
      <c r="O5" s="2">
        <f>('[3]BR Bilans'!$AC4/'[3]BR RZiS'!$B4)*365</f>
        <v>102.72170835487394</v>
      </c>
      <c r="P5" s="2">
        <f>('[3]BR Bilans'!$K4/'[3]BR RZiS'!$B4)*365</f>
        <v>51.082391386460884</v>
      </c>
      <c r="Z5" s="8">
        <v>2004</v>
      </c>
      <c r="AA5" s="30">
        <f>ROUND(2537596/1000000, 2)</f>
        <v>2.54</v>
      </c>
      <c r="AB5" s="16" t="s">
        <v>101</v>
      </c>
      <c r="AC5" s="30">
        <f>ROUND(20869475 / 1000000, 2)</f>
        <v>20.87</v>
      </c>
      <c r="AD5" s="16" t="s">
        <v>101</v>
      </c>
      <c r="AE5" s="30">
        <f>ROUND(3636845 / 1000000, 2)</f>
        <v>3.64</v>
      </c>
      <c r="AF5" s="16" t="s">
        <v>101</v>
      </c>
      <c r="AI5" s="32">
        <f>_xlfn.STDEV.P(AA5:AA25)</f>
        <v>8.1084701941173147</v>
      </c>
      <c r="AJ5" s="18">
        <f>AVERAGE(AA5:AA25)</f>
        <v>5.413333333333334</v>
      </c>
      <c r="AL5" t="str">
        <f>IF(ABS(_xlfn.XLOOKUP(rok, Z5:Z25, AA5:AA25) - AVERAGE(AA5:AA25)) &lt;= _xlfn.STDEV.P(AA5:AA25), "W granicach normy", "Znaczna zmiana")</f>
        <v>Znaczna zmiana</v>
      </c>
    </row>
    <row r="6" spans="2:38" x14ac:dyDescent="0.25">
      <c r="B6">
        <v>2007</v>
      </c>
      <c r="C6" s="5">
        <f>(('[3]BR Bilans'!$W5+'[3]BR Bilans'!$AC5)/'[3]BR Bilans'!$Q5)*100</f>
        <v>51.038228134609973</v>
      </c>
      <c r="D6" s="5">
        <f>(('[3]BR Bilans'!$W5+'[3]BR Bilans'!$AC5)/('[3]BR Bilans'!$R5+'[3]BR Bilans'!$V5))*100</f>
        <v>104.24097451973087</v>
      </c>
      <c r="E6" s="2">
        <f>('[3]BR RZiS'!$O5+'[3]BR RZiS'!$K5)/'[3]BR RZiS'!$K5</f>
        <v>3.8670092530702331</v>
      </c>
      <c r="F6" s="2">
        <f>(('[3]BR Bilans'!$AC5+'[3]BR Bilans'!$W5)-'[3]BR Bilans'!$N5)/('[3]BR RZiS'!$I5+'[3]BR Rpp_Orlen'!$C5)</f>
        <v>4.3754713964695284</v>
      </c>
      <c r="G6" s="2">
        <f>'[3]BR Bilans'!$J5/'[3]BR Bilans'!$AC5</f>
        <v>1.5569589754139974</v>
      </c>
      <c r="H6" s="3">
        <f>('[3]BR Bilans'!$J5-'[3]BR Bilans'!$K5-'[3]BR Bilans'!$AI5)/'[3]BR Bilans'!$AC5</f>
        <v>0.72363717869034638</v>
      </c>
      <c r="I6" s="3">
        <f>'[3]BR Bilans'!$N5/'[3]BR Bilans'!$AC5</f>
        <v>0.12044960137596782</v>
      </c>
      <c r="J6" s="5">
        <f>(('[3]BR RZiS'!$I5/'[3]BR RZiS'!$B5))*100</f>
        <v>4.0817686797935124</v>
      </c>
      <c r="K6" s="5">
        <f>('[3]BR RZiS'!$Q5/'[3]BR Bilans'!$Q5)*100</f>
        <v>5.3802039245968114</v>
      </c>
      <c r="L6" s="5">
        <f>('[3]BR RZiS'!$Q5/'[3]BR Bilans'!$R5)*100</f>
        <v>12.442359258071159</v>
      </c>
      <c r="M6" s="5">
        <f>('[3]BR RZiS'!$Q5/'[3]BR RZiS'!$B5)*100</f>
        <v>3.8882426927739058</v>
      </c>
      <c r="N6" s="2">
        <f>('[3]BR Bilans'!$L5/'[3]BR RZiS'!$B5)*365</f>
        <v>40.05048862505771</v>
      </c>
      <c r="O6" s="2">
        <f>('[3]BR Bilans'!$AC5/'[3]BR RZiS'!$B5)*365</f>
        <v>71.16945754049469</v>
      </c>
      <c r="P6" s="2">
        <f>('[3]BR Bilans'!$K5/'[3]BR RZiS'!$B5)*365</f>
        <v>59.307060229492635</v>
      </c>
      <c r="Z6" s="7">
        <v>2005</v>
      </c>
      <c r="AA6" s="31">
        <f>ROUND(4637776/1000000, 2)</f>
        <v>4.6399999999999997</v>
      </c>
      <c r="AB6" s="20">
        <f t="shared" ref="AB6:AB25" si="0">($AA6-$AA5)/ABS($AA5)</f>
        <v>0.82677165354330695</v>
      </c>
      <c r="AC6" s="31">
        <f>ROUND(33404311 / 1000000, 2)</f>
        <v>33.4</v>
      </c>
      <c r="AD6" s="20">
        <f t="shared" ref="AD6:AD25" si="1">($AC6-$AC5)/ABS($AC5)</f>
        <v>0.60038332534738847</v>
      </c>
      <c r="AE6" s="31">
        <f>ROUND(3663889 / 1000000, 2)</f>
        <v>3.66</v>
      </c>
      <c r="AF6" s="21">
        <f t="shared" ref="AF6:AF25" si="2">($AE6-$AE5)/$AE5</f>
        <v>5.4945054945054993E-3</v>
      </c>
      <c r="AG6" s="20"/>
      <c r="AI6" t="s">
        <v>102</v>
      </c>
      <c r="AJ6" t="s">
        <v>103</v>
      </c>
    </row>
    <row r="7" spans="2:38" x14ac:dyDescent="0.25">
      <c r="B7">
        <v>2008</v>
      </c>
      <c r="C7" s="5">
        <f>(('[3]BR Bilans'!$W6+'[3]BR Bilans'!$AC6)/'[3]BR Bilans'!$Q6)*100</f>
        <v>56.293093777108403</v>
      </c>
      <c r="D7" s="5">
        <f>(('[3]BR Bilans'!$W6+'[3]BR Bilans'!$AC6)/('[3]BR Bilans'!$R6+'[3]BR Bilans'!$V6))*100</f>
        <v>128.79679355484731</v>
      </c>
      <c r="E7" s="2">
        <f>('[3]BR RZiS'!$O6+'[3]BR RZiS'!$K6)/'[3]BR RZiS'!$K6</f>
        <v>-0.27789300845878917</v>
      </c>
      <c r="F7" s="2">
        <f>(('[3]BR Bilans'!$AC6+'[3]BR Bilans'!$W6)-'[3]BR Bilans'!$N6)/('[3]BR RZiS'!$I6+'[3]BR Rpp_Orlen'!$C6)</f>
        <v>28.263687967380619</v>
      </c>
      <c r="G7" s="2">
        <f>'[3]BR Bilans'!$J6/'[3]BR Bilans'!$AC6</f>
        <v>0.81132301005161644</v>
      </c>
      <c r="H7" s="3">
        <f>('[3]BR Bilans'!$J6-'[3]BR Bilans'!$K6-'[3]BR Bilans'!$AI6)/'[3]BR Bilans'!$AC6</f>
        <v>0.39458397954142438</v>
      </c>
      <c r="I7" s="3">
        <f>'[3]BR Bilans'!$N6/'[3]BR Bilans'!$AC6</f>
        <v>6.1633591128809478E-2</v>
      </c>
      <c r="J7" s="5">
        <f>(('[3]BR RZiS'!$I6/'[3]BR RZiS'!$B6))*100</f>
        <v>-2.0158645470266907</v>
      </c>
      <c r="K7" s="5">
        <f>('[3]BR RZiS'!$Q6/'[3]BR Bilans'!$Q6)*100</f>
        <v>-5.3785751158842592</v>
      </c>
      <c r="L7" s="5">
        <f>('[3]BR RZiS'!$Q6/'[3]BR Bilans'!$R6)*100</f>
        <v>-14.184096404155797</v>
      </c>
      <c r="M7" s="5">
        <f>('[3]BR RZiS'!$Q6/'[3]BR RZiS'!$B6)*100</f>
        <v>-3.1767391559498717</v>
      </c>
      <c r="N7" s="2">
        <f>('[3]BR Bilans'!$L6/'[3]BR RZiS'!$B6)*365</f>
        <v>30.968661487702203</v>
      </c>
      <c r="O7" s="2">
        <f>('[3]BR Bilans'!$AC6/'[3]BR RZiS'!$B6)*365</f>
        <v>100.08929536297795</v>
      </c>
      <c r="P7" s="2">
        <f>('[3]BR Bilans'!$K6/'[3]BR RZiS'!$B6)*365</f>
        <v>41.711115914015686</v>
      </c>
      <c r="Z7" s="8">
        <v>2006</v>
      </c>
      <c r="AA7" s="30">
        <f>ROUND(2060198/1000000, 2)</f>
        <v>2.06</v>
      </c>
      <c r="AB7" s="20">
        <f t="shared" si="0"/>
        <v>-0.55603448275862066</v>
      </c>
      <c r="AC7" s="30">
        <f>ROUND(45419084 / 1000000, 2)</f>
        <v>45.42</v>
      </c>
      <c r="AD7" s="20">
        <f t="shared" si="1"/>
        <v>0.35988023952095821</v>
      </c>
      <c r="AE7" s="30">
        <f>ROUND(3693189 / 1000000, 2)</f>
        <v>3.69</v>
      </c>
      <c r="AF7" s="21">
        <f t="shared" si="2"/>
        <v>8.1967213114753565E-3</v>
      </c>
      <c r="AG7" s="20"/>
      <c r="AI7" s="32">
        <f>_xlfn.STDEV.P(AC5:AC25)</f>
        <v>75.83829979401078</v>
      </c>
      <c r="AJ7" s="6">
        <f>AVERAGE(AC5:AC25)</f>
        <v>85.32714285714286</v>
      </c>
      <c r="AL7" t="str">
        <f>IF(ABS(_xlfn.XLOOKUP(rok, Z5:Z25, AC5:AC25) - AVERAGE(AC5:AC25)) &lt;= _xlfn.STDEV.P(AC5:AC25), "W granicach normy", "Znaczna zmiana")</f>
        <v>Znaczna zmiana</v>
      </c>
    </row>
    <row r="8" spans="2:38" x14ac:dyDescent="0.25">
      <c r="B8">
        <v>2009</v>
      </c>
      <c r="C8" s="5">
        <f>(('[3]BR Bilans'!$W7+'[3]BR Bilans'!$AC7)/'[3]BR Bilans'!$Q7)*100</f>
        <v>55.779049777267673</v>
      </c>
      <c r="D8" s="5">
        <f>(('[3]BR Bilans'!$W7+'[3]BR Bilans'!$AC7)/('[3]BR Bilans'!$R7+'[3]BR Bilans'!$V7))*100</f>
        <v>126.13715783202181</v>
      </c>
      <c r="E8" s="2">
        <f>('[3]BR RZiS'!$O7+'[3]BR RZiS'!$K7)/'[3]BR RZiS'!$K7</f>
        <v>2.4081601135401742</v>
      </c>
      <c r="F8" s="2">
        <f>(('[3]BR Bilans'!$AC7+'[3]BR Bilans'!$W7)-'[3]BR Bilans'!$N7)/('[3]BR RZiS'!$I7+'[3]BR Rpp_Orlen'!$C7)</f>
        <v>6.6689424190975473</v>
      </c>
      <c r="G8" s="2">
        <f>'[3]BR Bilans'!$J7/'[3]BR Bilans'!$AC7</f>
        <v>1.3726310462937141</v>
      </c>
      <c r="H8" s="3">
        <f>('[3]BR Bilans'!$J7-'[3]BR Bilans'!$K7-'[3]BR Bilans'!$AI7)/'[3]BR Bilans'!$AC7</f>
        <v>0.62250941478717026</v>
      </c>
      <c r="I8" s="3">
        <f>'[3]BR Bilans'!$N7/'[3]BR Bilans'!$AC7</f>
        <v>0.20773693633826726</v>
      </c>
      <c r="J8" s="5">
        <f>(('[3]BR RZiS'!$I7/'[3]BR RZiS'!$B7))*100</f>
        <v>1.6150573570629723</v>
      </c>
      <c r="K8" s="5">
        <f>('[3]BR RZiS'!$Q7/'[3]BR Bilans'!$Q7)*100</f>
        <v>2.6486415131008414</v>
      </c>
      <c r="L8" s="5">
        <f>('[3]BR RZiS'!$Q7/'[3]BR Bilans'!$R7)*100</f>
        <v>6.8293603554971369</v>
      </c>
      <c r="M8" s="5">
        <f>('[3]BR RZiS'!$Q7/'[3]BR RZiS'!$B7)*100</f>
        <v>1.9140372032206459</v>
      </c>
      <c r="N8" s="2">
        <f>('[3]BR Bilans'!$L7/'[3]BR RZiS'!$B7)*365</f>
        <v>29.292844819933581</v>
      </c>
      <c r="O8" s="2">
        <f>('[3]BR Bilans'!$AC7/'[3]BR RZiS'!$B7)*365</f>
        <v>76.073108301894393</v>
      </c>
      <c r="P8" s="2">
        <f>('[3]BR Bilans'!$K7/'[3]BR RZiS'!$B7)*365</f>
        <v>57.064084113191043</v>
      </c>
      <c r="Z8" s="7">
        <v>2007</v>
      </c>
      <c r="AA8" s="31">
        <f>ROUND(2480426 / 1000000, 2)</f>
        <v>2.48</v>
      </c>
      <c r="AB8" s="20">
        <f t="shared" si="0"/>
        <v>0.20388349514563103</v>
      </c>
      <c r="AC8" s="31">
        <f>ROUND(46102825 / 1000000, 2)</f>
        <v>46.1</v>
      </c>
      <c r="AD8" s="20">
        <f t="shared" si="1"/>
        <v>1.4971378247468069E-2</v>
      </c>
      <c r="AE8" s="31">
        <f>ROUND(1965066 / 1000000, 2)</f>
        <v>1.97</v>
      </c>
      <c r="AF8" s="21">
        <f t="shared" si="2"/>
        <v>-0.46612466124661245</v>
      </c>
      <c r="AG8" s="20"/>
      <c r="AI8" t="s">
        <v>104</v>
      </c>
      <c r="AJ8" t="s">
        <v>105</v>
      </c>
    </row>
    <row r="9" spans="2:38" x14ac:dyDescent="0.25">
      <c r="B9">
        <v>2010</v>
      </c>
      <c r="C9" s="5">
        <f>(('[3]BR Bilans'!$W8+'[3]BR Bilans'!$AC8)/'[3]BR Bilans'!$Q8)*100</f>
        <v>52.609869850497148</v>
      </c>
      <c r="D9" s="5">
        <f>(('[3]BR Bilans'!$W8+'[3]BR Bilans'!$AC8)/('[3]BR Bilans'!$R8+'[3]BR Bilans'!$V8))*100</f>
        <v>111.01440254442738</v>
      </c>
      <c r="E9" s="2">
        <f>('[3]BR RZiS'!$O8+'[3]BR RZiS'!$K8)/'[3]BR RZiS'!$K8</f>
        <v>5.0867556386173405</v>
      </c>
      <c r="F9" s="2">
        <f>(('[3]BR Bilans'!$AC8+'[3]BR Bilans'!$W8)-'[3]BR Bilans'!$N8)/('[3]BR RZiS'!$I8+'[3]BR Rpp_Orlen'!$C8)</f>
        <v>4.3439813856395464</v>
      </c>
      <c r="G9" s="2">
        <f>'[3]BR Bilans'!$J8/'[3]BR Bilans'!$AC8</f>
        <v>1.2756400729024506</v>
      </c>
      <c r="H9" s="3">
        <f>('[3]BR Bilans'!$J8-'[3]BR Bilans'!$K8-'[3]BR Bilans'!$AI8)/'[3]BR Bilans'!$AC8</f>
        <v>0.5802290213667326</v>
      </c>
      <c r="I9" s="3">
        <f>'[3]BR Bilans'!$N8/'[3]BR Bilans'!$AC8</f>
        <v>0.17366985720581571</v>
      </c>
      <c r="J9" s="5">
        <f>(('[3]BR RZiS'!$I8/'[3]BR RZiS'!$B8))*100</f>
        <v>3.7375762788256615</v>
      </c>
      <c r="K9" s="5">
        <f>('[3]BR RZiS'!$Q8/'[3]BR Bilans'!$Q8)*100</f>
        <v>4.8005415153985371</v>
      </c>
      <c r="L9" s="5">
        <f>('[3]BR RZiS'!$Q8/'[3]BR Bilans'!$R8)*100</f>
        <v>11.353218230975139</v>
      </c>
      <c r="M9" s="5">
        <f>('[3]BR RZiS'!$Q8/'[3]BR RZiS'!$B8)*100</f>
        <v>2.9390095437044672</v>
      </c>
      <c r="N9" s="2">
        <f>('[3]BR Bilans'!$L8/'[3]BR RZiS'!$B8)*365</f>
        <v>27.685259973041422</v>
      </c>
      <c r="O9" s="2">
        <f>('[3]BR Bilans'!$AC8/'[3]BR RZiS'!$B8)*365</f>
        <v>70.957560610600211</v>
      </c>
      <c r="P9" s="2">
        <f>('[3]BR Bilans'!$K8/'[3]BR RZiS'!$B8)*365</f>
        <v>49.344671838626951</v>
      </c>
      <c r="Z9" s="8">
        <v>2008</v>
      </c>
      <c r="AA9" s="30">
        <f>ROUND(-2526626 / 1000000, 2)</f>
        <v>-2.5299999999999998</v>
      </c>
      <c r="AB9" s="20">
        <f t="shared" si="0"/>
        <v>-2.0201612903225805</v>
      </c>
      <c r="AC9" s="30">
        <f>ROUND(46975750 / 1000000, 2)</f>
        <v>46.98</v>
      </c>
      <c r="AD9" s="20">
        <f t="shared" si="1"/>
        <v>1.9088937093275388E-2</v>
      </c>
      <c r="AE9" s="30">
        <f>ROUND(3616760 / 1000000, 2)</f>
        <v>3.62</v>
      </c>
      <c r="AF9" s="21">
        <f t="shared" si="2"/>
        <v>0.83756345177664981</v>
      </c>
      <c r="AG9" s="20"/>
      <c r="AI9" s="32">
        <f>_xlfn.STDEV.P(AE5:AE25)</f>
        <v>11.335750922616104</v>
      </c>
      <c r="AJ9" s="6">
        <f>AVERAGE(AE5:AE25)</f>
        <v>9.887142857142857</v>
      </c>
      <c r="AL9" t="str">
        <f>IF(ABS(_xlfn.XLOOKUP(rok, Z5:Z25,AE5:AE25) - AVERAGE(AE5:AE25)) &lt;= _xlfn.STDEV.P(AE5:AE25), "W granicach normy", "Znaczna zmiana")</f>
        <v>Znaczna zmiana</v>
      </c>
    </row>
    <row r="10" spans="2:38" x14ac:dyDescent="0.25">
      <c r="B10">
        <v>2011</v>
      </c>
      <c r="C10" s="5">
        <f>(('[3]BR Bilans'!$W9+'[3]BR Bilans'!$AC9)/'[3]BR Bilans'!$Q9)*100</f>
        <v>54.370835006059274</v>
      </c>
      <c r="D10" s="5">
        <f>(('[3]BR Bilans'!$W9+'[3]BR Bilans'!$AC9)/('[3]BR Bilans'!$R9+'[3]BR Bilans'!$V9))*100</f>
        <v>119.15807579051551</v>
      </c>
      <c r="E10" s="2">
        <f>('[3]BR RZiS'!$O9+'[3]BR RZiS'!$K9)/'[3]BR RZiS'!$K9</f>
        <v>2.2445489094698363</v>
      </c>
      <c r="F10" s="2">
        <f>(('[3]BR Bilans'!$AC9+'[3]BR Bilans'!$W9)-'[3]BR Bilans'!$N9)/('[3]BR RZiS'!$I9+'[3]BR Rpp_Orlen'!$C9)</f>
        <v>5.9651650091534316</v>
      </c>
      <c r="G10" s="2">
        <f>'[3]BR Bilans'!$J9/'[3]BR Bilans'!$AC9</f>
        <v>1.5208525622813502</v>
      </c>
      <c r="H10" s="3">
        <f>('[3]BR Bilans'!$J9-'[3]BR Bilans'!$K9-'[3]BR Bilans'!$AI9)/'[3]BR Bilans'!$AC9</f>
        <v>0.69832759066326489</v>
      </c>
      <c r="I10" s="3">
        <f>'[3]BR Bilans'!$N9/'[3]BR Bilans'!$AC9</f>
        <v>0.27301380476745507</v>
      </c>
      <c r="J10" s="5">
        <f>(('[3]BR RZiS'!$I9/'[3]BR RZiS'!$B9))*100</f>
        <v>1.9317683625694442</v>
      </c>
      <c r="K10" s="5">
        <f>('[3]BR RZiS'!$Q9/'[3]BR Bilans'!$Q9)*100</f>
        <v>3.4308739854971808</v>
      </c>
      <c r="L10" s="5">
        <f>('[3]BR RZiS'!$Q9/'[3]BR Bilans'!$R9)*100</f>
        <v>8.2131802556418858</v>
      </c>
      <c r="M10" s="5">
        <f>('[3]BR RZiS'!$Q9/'[3]BR RZiS'!$B9)*100</f>
        <v>1.8836543857756203</v>
      </c>
      <c r="N10" s="2">
        <f>('[3]BR Bilans'!$L9/'[3]BR RZiS'!$B9)*365</f>
        <v>27.653815716280153</v>
      </c>
      <c r="O10" s="2">
        <f>('[3]BR Bilans'!$AC9/'[3]BR RZiS'!$B9)*365</f>
        <v>67.60270762154596</v>
      </c>
      <c r="P10" s="2">
        <f>('[3]BR Bilans'!$K9/'[3]BR RZiS'!$B9)*365</f>
        <v>55.604915167717813</v>
      </c>
      <c r="Z10" s="7">
        <v>2009</v>
      </c>
      <c r="AA10" s="31">
        <f>ROUND(1300167 / 1000000, 2)</f>
        <v>1.3</v>
      </c>
      <c r="AB10" s="20">
        <f t="shared" si="0"/>
        <v>1.5138339920948618</v>
      </c>
      <c r="AC10" s="31">
        <f>ROUND(49088070 / 1000000, 2)</f>
        <v>49.09</v>
      </c>
      <c r="AD10" s="20">
        <f t="shared" si="1"/>
        <v>4.491272882077494E-2</v>
      </c>
      <c r="AE10" s="31">
        <f>ROUND(5161793 / 1000000, 2)</f>
        <v>5.16</v>
      </c>
      <c r="AF10" s="21">
        <f t="shared" si="2"/>
        <v>0.425414364640884</v>
      </c>
      <c r="AG10" s="20"/>
    </row>
    <row r="11" spans="2:38" x14ac:dyDescent="0.25">
      <c r="B11">
        <v>2012</v>
      </c>
      <c r="C11" s="5">
        <f>(('[3]BR Bilans'!$W10+'[3]BR Bilans'!$AC10)/'[3]BR Bilans'!$Q10)*100</f>
        <v>46.216200861929089</v>
      </c>
      <c r="D11" s="5">
        <f>(('[3]BR Bilans'!$W10+'[3]BR Bilans'!$AC10)/('[3]BR Bilans'!$R10+'[3]BR Bilans'!$V10))*100</f>
        <v>85.929595161705308</v>
      </c>
      <c r="E11" s="2">
        <f>('[3]BR RZiS'!$O10+'[3]BR RZiS'!$K10)/'[3]BR RZiS'!$K10</f>
        <v>3.6746570107192431</v>
      </c>
      <c r="F11" s="2">
        <f>(('[3]BR Bilans'!$AC10+'[3]BR Bilans'!$W10)-'[3]BR Bilans'!$N10)/('[3]BR RZiS'!$I10+'[3]BR Rpp_Orlen'!$C10)</f>
        <v>5.1610591965023636</v>
      </c>
      <c r="G11" s="2">
        <f>'[3]BR Bilans'!$J10/'[3]BR Bilans'!$AC10</f>
        <v>1.706858578559582</v>
      </c>
      <c r="H11" s="3">
        <f>('[3]BR Bilans'!$J10-'[3]BR Bilans'!$K10-'[3]BR Bilans'!$AI10)/'[3]BR Bilans'!$AC10</f>
        <v>0.71454283712038558</v>
      </c>
      <c r="I11" s="3">
        <f>'[3]BR Bilans'!$N10/'[3]BR Bilans'!$AC10</f>
        <v>0.14618779346385199</v>
      </c>
      <c r="J11" s="5">
        <f>(('[3]BR RZiS'!$I10/'[3]BR RZiS'!$B10))*100</f>
        <v>1.6855494371221686</v>
      </c>
      <c r="K11" s="5">
        <f>('[3]BR RZiS'!$Q10/'[3]BR Bilans'!$Q10)*100</f>
        <v>4.1230435878016625</v>
      </c>
      <c r="L11" s="5">
        <f>('[3]BR RZiS'!$Q10/'[3]BR Bilans'!$R10)*100</f>
        <v>8.1950778926860561</v>
      </c>
      <c r="M11" s="5">
        <f>('[3]BR RZiS'!$Q10/'[3]BR RZiS'!$B10)*100</f>
        <v>1.8067959988859426</v>
      </c>
      <c r="N11" s="2">
        <f>('[3]BR Bilans'!$L10/'[3]BR RZiS'!$B10)*365</f>
        <v>24.813987454783057</v>
      </c>
      <c r="O11" s="2">
        <f>('[3]BR Bilans'!$AC10/'[3]BR RZiS'!$B10)*365</f>
        <v>45.973265832122898</v>
      </c>
      <c r="P11" s="2">
        <f>('[3]BR Bilans'!$K10/'[3]BR RZiS'!$B10)*365</f>
        <v>45.619995370584313</v>
      </c>
      <c r="Z11" s="8">
        <v>2010</v>
      </c>
      <c r="AA11" s="30">
        <f>ROUND(2455467 / 1000000, 2)</f>
        <v>2.46</v>
      </c>
      <c r="AB11" s="20">
        <f t="shared" si="0"/>
        <v>0.89230769230769225</v>
      </c>
      <c r="AC11" s="30">
        <f>ROUND(51149792 / 1000000, 2)</f>
        <v>51.15</v>
      </c>
      <c r="AD11" s="20">
        <f t="shared" si="1"/>
        <v>4.1963740069260444E-2</v>
      </c>
      <c r="AE11" s="30">
        <f>ROUND(6110199 / 1000000, 2)</f>
        <v>6.11</v>
      </c>
      <c r="AF11" s="21">
        <f t="shared" si="2"/>
        <v>0.18410852713178297</v>
      </c>
      <c r="AG11" s="20"/>
      <c r="AI11" t="s">
        <v>106</v>
      </c>
    </row>
    <row r="12" spans="2:38" x14ac:dyDescent="0.25">
      <c r="B12">
        <v>2013</v>
      </c>
      <c r="C12" s="5">
        <f>(('[3]BR Bilans'!$W11+'[3]BR Bilans'!$AC11)/'[3]BR Bilans'!$Q11)*100</f>
        <v>46.34873033182739</v>
      </c>
      <c r="D12" s="5">
        <f>(('[3]BR Bilans'!$W11+'[3]BR Bilans'!$AC11)/('[3]BR Bilans'!$R11+'[3]BR Bilans'!$V11))*100</f>
        <v>86.388878806576898</v>
      </c>
      <c r="E12" s="2">
        <f>('[3]BR RZiS'!$O11+'[3]BR RZiS'!$K11)/'[3]BR RZiS'!$K11</f>
        <v>1.2834394904458599</v>
      </c>
      <c r="F12" s="2">
        <f>(('[3]BR Bilans'!$AC11+'[3]BR Bilans'!$W11)-'[3]BR Bilans'!$N11)/('[3]BR RZiS'!$I11+'[3]BR Rpp_Orlen'!$C11)</f>
        <v>8.3531761885737108</v>
      </c>
      <c r="G12" s="2">
        <f>'[3]BR Bilans'!$J11/'[3]BR Bilans'!$AC11</f>
        <v>1.5321215919774365</v>
      </c>
      <c r="H12" s="3">
        <f>('[3]BR Bilans'!$J11-'[3]BR Bilans'!$K11-'[3]BR Bilans'!$AI11)/'[3]BR Bilans'!$AC11</f>
        <v>0.67038545910372926</v>
      </c>
      <c r="I12" s="3">
        <f>'[3]BR Bilans'!$N11/'[3]BR Bilans'!$AC11</f>
        <v>0.18132246944531494</v>
      </c>
      <c r="J12" s="5">
        <f>(('[3]BR RZiS'!$I11/'[3]BR RZiS'!$B11))*100</f>
        <v>0.29248241153065796</v>
      </c>
      <c r="K12" s="5">
        <f>('[3]BR RZiS'!$Q11/'[3]BR Bilans'!$Q11)*100</f>
        <v>0.1752609440722854</v>
      </c>
      <c r="L12" s="5">
        <f>('[3]BR RZiS'!$Q11/'[3]BR Bilans'!$R11)*100</f>
        <v>0.34684754123631878</v>
      </c>
      <c r="M12" s="5">
        <f>('[3]BR RZiS'!$Q11/'[3]BR RZiS'!$B11)*100</f>
        <v>7.9049300413691348E-2</v>
      </c>
      <c r="N12" s="2">
        <f>('[3]BR Bilans'!$L11/'[3]BR RZiS'!$B11)*365</f>
        <v>25.09248768148402</v>
      </c>
      <c r="O12" s="2">
        <f>('[3]BR Bilans'!$AC11/'[3]BR RZiS'!$B11)*365</f>
        <v>51.14994773962917</v>
      </c>
      <c r="P12" s="2">
        <f>('[3]BR Bilans'!$K11/'[3]BR RZiS'!$B11)*365</f>
        <v>44.077758161840265</v>
      </c>
      <c r="Z12" s="7">
        <v>2011</v>
      </c>
      <c r="AA12" s="31">
        <f>ROUND(2015003 / 1000000, 2)</f>
        <v>2.02</v>
      </c>
      <c r="AB12" s="20">
        <f t="shared" si="0"/>
        <v>-0.17886178861788615</v>
      </c>
      <c r="AC12" s="31">
        <f>ROUND(58731478 / 1000000, 2)</f>
        <v>58.73</v>
      </c>
      <c r="AD12" s="20">
        <f t="shared" si="1"/>
        <v>0.14819159335288365</v>
      </c>
      <c r="AE12" s="31">
        <f>ROUND(761106 / 1000000, 2)</f>
        <v>0.76</v>
      </c>
      <c r="AF12" s="21">
        <f t="shared" si="2"/>
        <v>-0.87561374795417357</v>
      </c>
      <c r="AG12" s="20"/>
      <c r="AI12" s="1">
        <f>_xlfn.XLOOKUP(year,$Z$5:$Z$25,$AB$5:$AB$25)</f>
        <v>2.0053619302949066</v>
      </c>
    </row>
    <row r="13" spans="2:38" x14ac:dyDescent="0.25">
      <c r="B13">
        <v>2014</v>
      </c>
      <c r="C13" s="5">
        <f>(('[3]BR Bilans'!$W12+'[3]BR Bilans'!$AC12)/'[3]BR Bilans'!$Q12)*100</f>
        <v>56.370251471375063</v>
      </c>
      <c r="D13" s="5">
        <f>(('[3]BR Bilans'!$W12+'[3]BR Bilans'!$AC12)/('[3]BR Bilans'!$R12+'[3]BR Bilans'!$V12))*100</f>
        <v>129.20141273422939</v>
      </c>
      <c r="E13" s="2">
        <f>('[3]BR RZiS'!$O12+'[3]BR RZiS'!$K12)/'[3]BR RZiS'!$K12</f>
        <v>-2.3065113816834302</v>
      </c>
      <c r="F13" s="2">
        <f>(('[3]BR Bilans'!$AC12+'[3]BR Bilans'!$W12)-'[3]BR Bilans'!$N12)/('[3]BR RZiS'!$I12+'[3]BR Rpp_Orlen'!$C12)</f>
        <v>-8.2360294117647062</v>
      </c>
      <c r="G13" s="2">
        <f>'[3]BR Bilans'!$J12/'[3]BR Bilans'!$AC12</f>
        <v>1.5500926321789938</v>
      </c>
      <c r="H13" s="3">
        <f>('[3]BR Bilans'!$J12-'[3]BR Bilans'!$K12-'[3]BR Bilans'!$AI12)/'[3]BR Bilans'!$AC12</f>
        <v>0.84972210346301835</v>
      </c>
      <c r="I13" s="3">
        <f>'[3]BR Bilans'!$N12/'[3]BR Bilans'!$AC12</f>
        <v>0.2805329913068263</v>
      </c>
      <c r="J13" s="5">
        <f>(('[3]BR RZiS'!$I12/'[3]BR RZiS'!$B12))*100</f>
        <v>-4.4097274224951324</v>
      </c>
      <c r="K13" s="5">
        <f>('[3]BR RZiS'!$Q12/'[3]BR Bilans'!$Q12)*100</f>
        <v>-12.472980203317283</v>
      </c>
      <c r="L13" s="5">
        <f>('[3]BR RZiS'!$Q12/'[3]BR Bilans'!$R12)*100</f>
        <v>-31.047893026477013</v>
      </c>
      <c r="M13" s="5">
        <f>('[3]BR RZiS'!$Q12/'[3]BR RZiS'!$B12)*100</f>
        <v>-5.455294293844541</v>
      </c>
      <c r="N13" s="2">
        <f>('[3]BR Bilans'!$L12/'[3]BR RZiS'!$B12)*365</f>
        <v>24.230380410363935</v>
      </c>
      <c r="O13" s="2">
        <f>('[3]BR Bilans'!$AC12/'[3]BR RZiS'!$B12)*365</f>
        <v>47.948273925415606</v>
      </c>
      <c r="P13" s="2">
        <f>('[3]BR Bilans'!$K12/'[3]BR RZiS'!$B12)*365</f>
        <v>33.581557960161746</v>
      </c>
      <c r="Z13" s="8">
        <v>2012</v>
      </c>
      <c r="AA13" s="30">
        <f>ROUND(2169990 / 1000000, 2)</f>
        <v>2.17</v>
      </c>
      <c r="AB13" s="20">
        <f t="shared" si="0"/>
        <v>7.4257425742574212E-2</v>
      </c>
      <c r="AC13" s="30">
        <f>ROUND(52630780 / 1000000, 2)</f>
        <v>52.63</v>
      </c>
      <c r="AD13" s="20">
        <f t="shared" si="1"/>
        <v>-0.10386514558147446</v>
      </c>
      <c r="AE13" s="30">
        <f>ROUND(3089185 / 1000000, 2)</f>
        <v>3.09</v>
      </c>
      <c r="AF13" s="21">
        <f t="shared" si="2"/>
        <v>3.0657894736842106</v>
      </c>
      <c r="AG13" s="20"/>
    </row>
    <row r="14" spans="2:38" x14ac:dyDescent="0.25">
      <c r="B14">
        <v>2015</v>
      </c>
      <c r="C14" s="5">
        <f>(('[3]BR Bilans'!$W13+'[3]BR Bilans'!$AC13)/'[3]BR Bilans'!$Q13)*100</f>
        <v>49.635415584685376</v>
      </c>
      <c r="D14" s="5">
        <f>(('[3]BR Bilans'!$W13+'[3]BR Bilans'!$AC13)/('[3]BR Bilans'!$R13+'[3]BR Bilans'!$V13))*100</f>
        <v>98.552219105758127</v>
      </c>
      <c r="E14" s="2">
        <f>('[3]BR RZiS'!$O13+'[3]BR RZiS'!$K13)/'[3]BR RZiS'!$K13</f>
        <v>4.583333333333333</v>
      </c>
      <c r="F14" s="2">
        <f>(('[3]BR Bilans'!$AC13+'[3]BR Bilans'!$W13)-'[3]BR Bilans'!$N13)/('[3]BR RZiS'!$I13+'[3]BR Rpp_Orlen'!$C13)</f>
        <v>3.4554931836407379</v>
      </c>
      <c r="G14" s="2">
        <f>'[3]BR Bilans'!$J13/'[3]BR Bilans'!$AC13</f>
        <v>1.520196107127177</v>
      </c>
      <c r="H14" s="3">
        <f>('[3]BR Bilans'!$J13-'[3]BR Bilans'!$K13-'[3]BR Bilans'!$AI13)/'[3]BR Bilans'!$AC13</f>
        <v>0.73613346992536222</v>
      </c>
      <c r="I14" s="3">
        <f>'[3]BR Bilans'!$N13/'[3]BR Bilans'!$AC13</f>
        <v>0.17181325918337481</v>
      </c>
      <c r="J14" s="5">
        <f>(('[3]BR RZiS'!$I13/'[3]BR RZiS'!$B13))*100</f>
        <v>4.9130592284006518</v>
      </c>
      <c r="K14" s="5">
        <f>('[3]BR RZiS'!$Q13/'[3]BR Bilans'!$Q13)*100</f>
        <v>6.7162473772773543</v>
      </c>
      <c r="L14" s="5">
        <f>('[3]BR RZiS'!$Q13/'[3]BR Bilans'!$R13)*100</f>
        <v>14.580796464168133</v>
      </c>
      <c r="M14" s="5">
        <f>('[3]BR RZiS'!$Q13/'[3]BR RZiS'!$B13)*100</f>
        <v>3.6598895127694258</v>
      </c>
      <c r="N14" s="2">
        <f>('[3]BR Bilans'!$L13/'[3]BR RZiS'!$B13)*365</f>
        <v>27.440284821590293</v>
      </c>
      <c r="O14" s="2">
        <f>('[3]BR Bilans'!$AC13/'[3]BR RZiS'!$B13)*365</f>
        <v>56.467238724868686</v>
      </c>
      <c r="P14" s="2">
        <f>('[3]BR Bilans'!$K13/'[3]BR RZiS'!$B13)*365</f>
        <v>44.273852110124977</v>
      </c>
      <c r="Z14" s="7">
        <v>2013</v>
      </c>
      <c r="AA14" s="31">
        <f>ROUND(90000 / 1000000, 2)</f>
        <v>0.09</v>
      </c>
      <c r="AB14" s="20">
        <f t="shared" si="0"/>
        <v>-0.95852534562211988</v>
      </c>
      <c r="AC14" s="31">
        <f>ROUND(51352000 / 1000000, 2)</f>
        <v>51.35</v>
      </c>
      <c r="AD14" s="20">
        <f t="shared" si="1"/>
        <v>-2.4320729621888679E-2</v>
      </c>
      <c r="AE14" s="31">
        <f>ROUND(5671000 / 1000000, 2)</f>
        <v>5.67</v>
      </c>
      <c r="AF14" s="21">
        <f t="shared" si="2"/>
        <v>0.83495145631067968</v>
      </c>
      <c r="AG14" s="20"/>
      <c r="AI14" t="s">
        <v>107</v>
      </c>
    </row>
    <row r="15" spans="2:38" x14ac:dyDescent="0.25">
      <c r="B15">
        <v>2016</v>
      </c>
      <c r="C15" s="5">
        <f>(('[3]BR Bilans'!$W14+'[3]BR Bilans'!$AC14)/'[3]BR Bilans'!$Q14)*100</f>
        <v>47.288468114976872</v>
      </c>
      <c r="D15" s="5">
        <f>(('[3]BR Bilans'!$W14+'[3]BR Bilans'!$AC14)/('[3]BR Bilans'!$R14+'[3]BR Bilans'!$V14))*100</f>
        <v>89.711807689681081</v>
      </c>
      <c r="E15" s="2">
        <f>('[3]BR RZiS'!$O14+'[3]BR RZiS'!$K14)/'[3]BR RZiS'!$K14</f>
        <v>8.712206047032474</v>
      </c>
      <c r="F15" s="2">
        <f>(('[3]BR Bilans'!$AC14+'[3]BR Bilans'!$W14)-'[3]BR Bilans'!$N14)/('[3]BR RZiS'!$I14+'[3]BR Rpp_Orlen'!$C14)</f>
        <v>2.1988176726820163</v>
      </c>
      <c r="G15" s="2">
        <f>'[3]BR Bilans'!$J14/'[3]BR Bilans'!$AC14</f>
        <v>1.5184405270441008</v>
      </c>
      <c r="H15" s="3">
        <f>('[3]BR Bilans'!$J14-'[3]BR Bilans'!$K14-'[3]BR Bilans'!$AI14)/'[3]BR Bilans'!$AC14</f>
        <v>0.8456771554058119</v>
      </c>
      <c r="I15" s="3">
        <f>'[3]BR Bilans'!$N14/'[3]BR Bilans'!$AC14</f>
        <v>0.305156127790145</v>
      </c>
      <c r="J15" s="5">
        <f>(('[3]BR RZiS'!$I14/'[3]BR RZiS'!$B14))*100</f>
        <v>9.4679019018767363</v>
      </c>
      <c r="K15" s="5">
        <f>('[3]BR RZiS'!$Q14/'[3]BR Bilans'!$Q14)*100</f>
        <v>10.331359455713745</v>
      </c>
      <c r="L15" s="5">
        <f>('[3]BR RZiS'!$Q14/'[3]BR Bilans'!$R14)*100</f>
        <v>21.446719473920194</v>
      </c>
      <c r="M15" s="5">
        <f>('[3]BR RZiS'!$Q14/'[3]BR RZiS'!$B14)*100</f>
        <v>7.2153155757796679</v>
      </c>
      <c r="N15" s="2">
        <f>('[3]BR Bilans'!$L14/'[3]BR RZiS'!$B14)*365</f>
        <v>39.797493494902767</v>
      </c>
      <c r="O15" s="2">
        <f>('[3]BR Bilans'!$AC14/'[3]BR RZiS'!$B14)*365</f>
        <v>76.259411964350804</v>
      </c>
      <c r="P15" s="2">
        <f>('[3]BR Bilans'!$K14/'[3]BR RZiS'!$B14)*365</f>
        <v>51.304539112289923</v>
      </c>
      <c r="Z15" s="8">
        <v>2014</v>
      </c>
      <c r="AA15" s="30">
        <f>ROUND(-5828000 / 1000000, 2)</f>
        <v>-5.83</v>
      </c>
      <c r="AB15" s="20">
        <f t="shared" si="0"/>
        <v>-65.777777777777786</v>
      </c>
      <c r="AC15" s="30">
        <f>ROUND(46725000 / 1000000, 2)</f>
        <v>46.73</v>
      </c>
      <c r="AD15" s="20">
        <f t="shared" si="1"/>
        <v>-8.9970788704966012E-2</v>
      </c>
      <c r="AE15" s="30">
        <f>ROUND(3187000 / 1000000, 2)</f>
        <v>3.19</v>
      </c>
      <c r="AF15" s="21">
        <f t="shared" si="2"/>
        <v>-0.43738977072310403</v>
      </c>
      <c r="AG15" s="20"/>
      <c r="AI15" s="1">
        <f>_xlfn.XLOOKUP(year,$Z$5:$Z$25,$AD$5:$AD$25)</f>
        <v>1.5511007025761123</v>
      </c>
    </row>
    <row r="16" spans="2:38" x14ac:dyDescent="0.25">
      <c r="B16">
        <v>2017</v>
      </c>
      <c r="C16" s="5">
        <f>(('[3]BR Bilans'!$W15+'[3]BR Bilans'!$AC15)/'[3]BR Bilans'!$Q15)*100</f>
        <v>41.957338784122378</v>
      </c>
      <c r="D16" s="5">
        <f>(('[3]BR Bilans'!$W15+'[3]BR Bilans'!$AC15)/('[3]BR Bilans'!$R15+'[3]BR Bilans'!$V15))*100</f>
        <v>72.287069381727292</v>
      </c>
      <c r="E16" s="2">
        <f>('[3]BR RZiS'!$O15+'[3]BR RZiS'!$K15)/'[3]BR RZiS'!$K15</f>
        <v>6.1276470588235297</v>
      </c>
      <c r="F16" s="2">
        <f>(('[3]BR Bilans'!$AC15+'[3]BR Bilans'!$W15)-'[3]BR Bilans'!$N15)/('[3]BR RZiS'!$I15+'[3]BR Rpp_Orlen'!$C15)</f>
        <v>1.7339772522115906</v>
      </c>
      <c r="G16" s="2">
        <f>'[3]BR Bilans'!$J15/'[3]BR Bilans'!$AC15</f>
        <v>1.7655963862776218</v>
      </c>
      <c r="H16" s="3">
        <f>('[3]BR Bilans'!$J15-'[3]BR Bilans'!$K15-'[3]BR Bilans'!$AI15)/'[3]BR Bilans'!$AC15</f>
        <v>1.0062263459895007</v>
      </c>
      <c r="I16" s="3">
        <f>'[3]BR Bilans'!$N15/'[3]BR Bilans'!$AC15</f>
        <v>0.38115004272982544</v>
      </c>
      <c r="J16" s="5">
        <f>(('[3]BR RZiS'!$I15/'[3]BR RZiS'!$B15))*100</f>
        <v>9.0778490835115981</v>
      </c>
      <c r="K16" s="5">
        <f>('[3]BR RZiS'!$Q15/'[3]BR Bilans'!$Q15)*100</f>
        <v>11.824146116312804</v>
      </c>
      <c r="L16" s="5">
        <f>('[3]BR RZiS'!$Q15/'[3]BR Bilans'!$R15)*100</f>
        <v>22.27847314967233</v>
      </c>
      <c r="M16" s="5">
        <f>('[3]BR RZiS'!$Q15/'[3]BR RZiS'!$B15)*100</f>
        <v>7.5217063042657601</v>
      </c>
      <c r="N16" s="2">
        <f>('[3]BR Bilans'!$L15/'[3]BR RZiS'!$B15)*365</f>
        <v>36.735770311648004</v>
      </c>
      <c r="O16" s="2">
        <f>('[3]BR Bilans'!$AC15/'[3]BR RZiS'!$B15)*365</f>
        <v>62.701124113921402</v>
      </c>
      <c r="P16" s="2">
        <f>('[3]BR Bilans'!$K15/'[3]BR RZiS'!$B15)*365</f>
        <v>47.613355144498968</v>
      </c>
      <c r="Z16" s="7">
        <v>2015</v>
      </c>
      <c r="AA16" s="31">
        <f>ROUND(3233000 / 1000000, 2)</f>
        <v>3.23</v>
      </c>
      <c r="AB16" s="20">
        <f t="shared" si="0"/>
        <v>1.5540308747855918</v>
      </c>
      <c r="AC16" s="31">
        <f>ROUND(48137000 / 1000000, 2)</f>
        <v>48.14</v>
      </c>
      <c r="AD16" s="20">
        <f t="shared" si="1"/>
        <v>3.0173336186603977E-2</v>
      </c>
      <c r="AE16" s="31">
        <f>ROUND(5354000 / 1000000, 2)</f>
        <v>5.35</v>
      </c>
      <c r="AF16" s="21">
        <f t="shared" si="2"/>
        <v>0.67711598746081492</v>
      </c>
      <c r="AG16" s="20"/>
    </row>
    <row r="17" spans="2:35" x14ac:dyDescent="0.25">
      <c r="B17">
        <v>2018</v>
      </c>
      <c r="C17" s="5">
        <f>(('[3]BR Bilans'!$W16+'[3]BR Bilans'!$AC16)/'[3]BR Bilans'!$Q16)*100</f>
        <v>44.33009011260171</v>
      </c>
      <c r="D17" s="5">
        <f>(('[3]BR Bilans'!$W16+'[3]BR Bilans'!$AC16)/('[3]BR Bilans'!$R16+'[3]BR Bilans'!$V16))*100</f>
        <v>79.630253043819792</v>
      </c>
      <c r="E17" s="2">
        <f>('[3]BR RZiS'!$O16+'[3]BR RZiS'!$K16)/'[3]BR RZiS'!$K16</f>
        <v>5.6137112722478575</v>
      </c>
      <c r="F17" s="2">
        <f>(('[3]BR Bilans'!$AC16+'[3]BR Bilans'!$W16)-'[3]BR Bilans'!$N16)/('[3]BR RZiS'!$I16+'[3]BR Rpp_Orlen'!$C16)</f>
        <v>2.4747340425531914</v>
      </c>
      <c r="G17" s="2">
        <f>'[3]BR Bilans'!$J16/'[3]BR Bilans'!$AC16</f>
        <v>1.7850633211030891</v>
      </c>
      <c r="H17" s="3">
        <f>('[3]BR Bilans'!$J16-'[3]BR Bilans'!$K16-'[3]BR Bilans'!$AI16)/'[3]BR Bilans'!$AC16</f>
        <v>0.93780329033021659</v>
      </c>
      <c r="I17" s="3">
        <f>'[3]BR Bilans'!$N16/'[3]BR Bilans'!$AC16</f>
        <v>0.24807669546691916</v>
      </c>
      <c r="J17" s="5">
        <f>(('[3]BR RZiS'!$I16/'[3]BR RZiS'!$B16))*100</f>
        <v>6.4745775071554874</v>
      </c>
      <c r="K17" s="5">
        <f>('[3]BR RZiS'!$Q16/'[3]BR Bilans'!$Q16)*100</f>
        <v>8.6067685964610892</v>
      </c>
      <c r="L17" s="5">
        <f>('[3]BR RZiS'!$Q16/'[3]BR Bilans'!$R16)*100</f>
        <v>15.465566593702643</v>
      </c>
      <c r="M17" s="5">
        <f>('[3]BR RZiS'!$Q16/'[3]BR RZiS'!$B16)*100</f>
        <v>5.0234262483364631</v>
      </c>
      <c r="N17" s="2">
        <f>('[3]BR Bilans'!$L16/'[3]BR RZiS'!$B16)*365</f>
        <v>35.243696789601302</v>
      </c>
      <c r="O17" s="2">
        <f>('[3]BR Bilans'!$AC16/'[3]BR RZiS'!$B16)*365</f>
        <v>56.220899495013953</v>
      </c>
      <c r="P17" s="2">
        <f>('[3]BR Bilans'!$K16/'[3]BR RZiS'!$B16)*365</f>
        <v>47.633721036224095</v>
      </c>
      <c r="Z17" s="8">
        <v>2016</v>
      </c>
      <c r="AA17" s="30">
        <f>ROUND(5740000 / 1000000, 2)</f>
        <v>5.74</v>
      </c>
      <c r="AB17" s="20">
        <f t="shared" si="0"/>
        <v>0.77708978328173384</v>
      </c>
      <c r="AC17" s="30">
        <f>ROUND(55559000 / 1000000, 2)</f>
        <v>55.56</v>
      </c>
      <c r="AD17" s="20">
        <f t="shared" si="1"/>
        <v>0.15413377648525139</v>
      </c>
      <c r="AE17" s="30">
        <f>ROUND(9331000 / 1000000, 2)</f>
        <v>9.33</v>
      </c>
      <c r="AF17" s="21">
        <f t="shared" si="2"/>
        <v>0.74392523364485996</v>
      </c>
      <c r="AG17" s="20"/>
      <c r="AI17" t="s">
        <v>108</v>
      </c>
    </row>
    <row r="18" spans="2:35" x14ac:dyDescent="0.25">
      <c r="B18">
        <v>2019</v>
      </c>
      <c r="C18" s="5">
        <f>(('[3]BR Bilans'!$W17+'[3]BR Bilans'!$AC17)/'[3]BR Bilans'!$Q17)*100</f>
        <v>45.778208477289958</v>
      </c>
      <c r="D18" s="5">
        <f>(('[3]BR Bilans'!$W17+'[3]BR Bilans'!$AC17)/('[3]BR Bilans'!$R17+'[3]BR Bilans'!$V17))*100</f>
        <v>84.427694459553976</v>
      </c>
      <c r="E18" s="2">
        <f>('[3]BR RZiS'!$O17+'[3]BR RZiS'!$K17)/'[3]BR RZiS'!$K17</f>
        <v>6.940066592674806</v>
      </c>
      <c r="F18" s="2">
        <f>(('[3]BR Bilans'!$AC17+'[3]BR Bilans'!$W17)-'[3]BR Bilans'!$N17)/('[3]BR RZiS'!$I17+'[3]BR Rpp_Orlen'!$C17)</f>
        <v>2.9800473452823808</v>
      </c>
      <c r="G18" s="2">
        <f>'[3]BR Bilans'!$J17/'[3]BR Bilans'!$AC17</f>
        <v>1.7464442013129102</v>
      </c>
      <c r="H18" s="3">
        <f>('[3]BR Bilans'!$J17-'[3]BR Bilans'!$K17-'[3]BR Bilans'!$AI17)/'[3]BR Bilans'!$AC17</f>
        <v>0.9218271334792123</v>
      </c>
      <c r="I18" s="3">
        <f>'[3]BR Bilans'!$N17/'[3]BR Bilans'!$AC17</f>
        <v>0.33692560175054703</v>
      </c>
      <c r="J18" s="5">
        <f>(('[3]BR RZiS'!$I17/'[3]BR RZiS'!$B17))*100</f>
        <v>4.8245101301223885</v>
      </c>
      <c r="K18" s="5">
        <f>('[3]BR RZiS'!$Q17/'[3]BR Bilans'!$Q17)*100</f>
        <v>6.0363472936153473</v>
      </c>
      <c r="L18" s="5">
        <f>('[3]BR RZiS'!$Q17/'[3]BR Bilans'!$R17)*100</f>
        <v>11.135869001969116</v>
      </c>
      <c r="M18" s="5">
        <f>('[3]BR RZiS'!$Q17/'[3]BR RZiS'!$B17)*100</f>
        <v>3.8650036419880762</v>
      </c>
      <c r="N18" s="2">
        <f>('[3]BR Bilans'!$L17/'[3]BR RZiS'!$B17)*365</f>
        <v>32.64232979326097</v>
      </c>
      <c r="O18" s="2">
        <f>('[3]BR Bilans'!$AC17/'[3]BR RZiS'!$B17)*365</f>
        <v>60.000179851263006</v>
      </c>
      <c r="P18" s="2">
        <f>('[3]BR Bilans'!$K17/'[3]BR RZiS'!$B17)*365</f>
        <v>49.477172378443029</v>
      </c>
      <c r="Z18" s="7">
        <v>2017</v>
      </c>
      <c r="AA18" s="31">
        <f>ROUND(7173000 / 1000000, 2)</f>
        <v>7.17</v>
      </c>
      <c r="AB18" s="20">
        <f t="shared" si="0"/>
        <v>0.24912891986062713</v>
      </c>
      <c r="AC18" s="31">
        <f>ROUND(60664000 / 1000000, 2)</f>
        <v>60.66</v>
      </c>
      <c r="AD18" s="20">
        <f t="shared" si="1"/>
        <v>9.179265658747289E-2</v>
      </c>
      <c r="AE18" s="31">
        <f>ROUND(8050000 / 1000000, 2)</f>
        <v>8.0500000000000007</v>
      </c>
      <c r="AF18" s="21">
        <f t="shared" si="2"/>
        <v>-0.13719185423365482</v>
      </c>
      <c r="AG18" s="20"/>
      <c r="AI18" s="1">
        <f>_xlfn.XLOOKUP(year, $Z$5:$Z$25,AF5:AF25)</f>
        <v>1.3270676691729322</v>
      </c>
    </row>
    <row r="19" spans="2:35" x14ac:dyDescent="0.25">
      <c r="B19">
        <v>2020</v>
      </c>
      <c r="C19" s="5">
        <f>(('[3]BR Bilans'!$W18+'[3]BR Bilans'!$AC18)/'[3]BR Bilans'!$Q18)*100</f>
        <v>49.444689658463261</v>
      </c>
      <c r="D19" s="5">
        <f>(('[3]BR Bilans'!$W18+'[3]BR Bilans'!$AC18)/('[3]BR Bilans'!$R18+'[3]BR Bilans'!$V18))*100</f>
        <v>97.803157224096836</v>
      </c>
      <c r="E19" s="2">
        <f>('[3]BR RZiS'!$O18+'[3]BR RZiS'!$K18)/'[3]BR RZiS'!$K18</f>
        <v>2.5468501852832186</v>
      </c>
      <c r="F19" s="2">
        <f>(('[3]BR Bilans'!$AC18+'[3]BR Bilans'!$W18)-'[3]BR Bilans'!$N18)/('[3]BR RZiS'!$I18+'[3]BR Rpp_Orlen'!$C18)</f>
        <v>4.7242392198331569</v>
      </c>
      <c r="G19" s="2">
        <f>'[3]BR Bilans'!$J18/'[3]BR Bilans'!$AC18</f>
        <v>1.0737654859535857</v>
      </c>
      <c r="H19" s="3">
        <f>('[3]BR Bilans'!$J18-'[3]BR Bilans'!$K18-'[3]BR Bilans'!$AI18)/'[3]BR Bilans'!$AC18</f>
        <v>0.53812598150410051</v>
      </c>
      <c r="I19" s="3">
        <f>'[3]BR Bilans'!$N18/'[3]BR Bilans'!$AC18</f>
        <v>5.4091781538998428E-2</v>
      </c>
      <c r="J19" s="5">
        <f>(('[3]BR RZiS'!$I18/'[3]BR RZiS'!$B18))*100</f>
        <v>4.6112787189603157</v>
      </c>
      <c r="K19" s="5">
        <f>('[3]BR RZiS'!$Q18/'[3]BR Bilans'!$Q18)*100</f>
        <v>3.3700359072852426</v>
      </c>
      <c r="L19" s="5">
        <f>('[3]BR RZiS'!$Q18/'[3]BR Bilans'!$R18)*100</f>
        <v>6.7915184152322343</v>
      </c>
      <c r="M19" s="5">
        <f>('[3]BR RZiS'!$Q18/'[3]BR RZiS'!$B18)*100</f>
        <v>3.2780227430958457</v>
      </c>
      <c r="N19" s="2">
        <f>('[3]BR Bilans'!$L18/'[3]BR RZiS'!$B18)*365</f>
        <v>42.730157809236481</v>
      </c>
      <c r="O19" s="2">
        <f>('[3]BR Bilans'!$AC18/'[3]BR RZiS'!$B18)*365</f>
        <v>97.090508238570436</v>
      </c>
      <c r="P19" s="2">
        <f>('[3]BR Bilans'!$K18/'[3]BR RZiS'!$B18)*365</f>
        <v>52.005511719656532</v>
      </c>
      <c r="Z19" s="8">
        <v>2018</v>
      </c>
      <c r="AA19" s="30">
        <f>ROUND(5511000 / 1000000, 2)</f>
        <v>5.51</v>
      </c>
      <c r="AB19" s="20">
        <f t="shared" si="0"/>
        <v>-0.23152022315202234</v>
      </c>
      <c r="AC19" s="30">
        <f>ROUND(64031000 / 1000000, 2)</f>
        <v>64.03</v>
      </c>
      <c r="AD19" s="20">
        <f t="shared" si="1"/>
        <v>5.5555555555555636E-2</v>
      </c>
      <c r="AE19" s="30">
        <f>ROUND(4979000 / 1000000, 2)</f>
        <v>4.9800000000000004</v>
      </c>
      <c r="AF19" s="21">
        <f t="shared" si="2"/>
        <v>-0.38136645962732918</v>
      </c>
      <c r="AG19" s="20"/>
    </row>
    <row r="20" spans="2:35" x14ac:dyDescent="0.25">
      <c r="B20">
        <v>2021</v>
      </c>
      <c r="C20" s="5">
        <f>(('[3]BR Bilans'!$W19+'[3]BR Bilans'!$AC19)/'[3]BR Bilans'!$Q19)*100</f>
        <v>50.748449706802553</v>
      </c>
      <c r="D20" s="5">
        <f>(('[3]BR Bilans'!$W19+'[3]BR Bilans'!$AC19)/('[3]BR Bilans'!$R19+'[3]BR Bilans'!$V19))*100</f>
        <v>103.03929400129333</v>
      </c>
      <c r="E20" s="2">
        <f>('[3]BR RZiS'!$O19+'[3]BR RZiS'!$K19)/'[3]BR RZiS'!$K19</f>
        <v>15.135330578512397</v>
      </c>
      <c r="F20" s="2">
        <f>(('[3]BR Bilans'!$AC19+'[3]BR Bilans'!$W19)-'[3]BR Bilans'!$N19)/('[3]BR RZiS'!$I19+'[3]BR Rpp_Orlen'!$C19)</f>
        <v>2.6693040445578053</v>
      </c>
      <c r="G20" s="2">
        <f>'[3]BR Bilans'!$J19/'[3]BR Bilans'!$AC19</f>
        <v>1.255999735912587</v>
      </c>
      <c r="H20" s="3">
        <f>('[3]BR Bilans'!$J19-'[3]BR Bilans'!$K19-'[3]BR Bilans'!$AI19)/'[3]BR Bilans'!$AC19</f>
        <v>0.64826857689895356</v>
      </c>
      <c r="I20" s="3">
        <f>'[3]BR Bilans'!$N19/'[3]BR Bilans'!$AC19</f>
        <v>9.5599643481992541E-2</v>
      </c>
      <c r="J20" s="5">
        <f>(('[3]BR RZiS'!$I19/'[3]BR RZiS'!$B19))*100</f>
        <v>10.560297241531586</v>
      </c>
      <c r="K20" s="5">
        <f>('[3]BR RZiS'!$Q19/'[3]BR Bilans'!$Q19)*100</f>
        <v>10.480169361335406</v>
      </c>
      <c r="L20" s="5">
        <f>('[3]BR RZiS'!$Q19/'[3]BR Bilans'!$R19)*100</f>
        <v>21.637302492892648</v>
      </c>
      <c r="M20" s="5">
        <f>('[3]BR RZiS'!$Q19/'[3]BR RZiS'!$B19)*100</f>
        <v>8.5182844656276409</v>
      </c>
      <c r="N20" s="2">
        <f>('[3]BR Bilans'!$L19/'[3]BR RZiS'!$B19)*365</f>
        <v>42.157818198430043</v>
      </c>
      <c r="O20" s="2">
        <f>('[3]BR Bilans'!$AC19/'[3]BR RZiS'!$B19)*365</f>
        <v>84.185022194135883</v>
      </c>
      <c r="P20" s="2">
        <f>('[3]BR Bilans'!$K19/'[3]BR RZiS'!$B19)*365</f>
        <v>51.161861109630657</v>
      </c>
      <c r="Z20" s="7">
        <v>2019</v>
      </c>
      <c r="AA20" s="31">
        <f>ROUND(4298000 / 1000000, 2)</f>
        <v>4.3</v>
      </c>
      <c r="AB20" s="20">
        <f t="shared" si="0"/>
        <v>-0.21960072595281308</v>
      </c>
      <c r="AC20" s="31">
        <f>ROUND(71202000 / 1000000, 2)</f>
        <v>71.2</v>
      </c>
      <c r="AD20" s="20">
        <f t="shared" si="1"/>
        <v>0.11197875995627052</v>
      </c>
      <c r="AE20" s="31">
        <f>ROUND(9319000 / 1000000, 2)</f>
        <v>9.32</v>
      </c>
      <c r="AF20" s="21">
        <f t="shared" si="2"/>
        <v>0.87148594377510025</v>
      </c>
      <c r="AG20" s="20"/>
    </row>
    <row r="21" spans="2:35" x14ac:dyDescent="0.25">
      <c r="B21">
        <v>2022</v>
      </c>
      <c r="C21" s="5">
        <f>(('[3]BR Bilans'!$W20+'[3]BR Bilans'!$AC20)/'[3]BR Bilans'!$Q20)*100</f>
        <v>49.707887943538466</v>
      </c>
      <c r="D21" s="5">
        <f>(('[3]BR Bilans'!$W20+'[3]BR Bilans'!$AC20)/('[3]BR Bilans'!$R20+'[3]BR Bilans'!$V20))*100</f>
        <v>98.838338480859235</v>
      </c>
      <c r="E21" s="2">
        <f>('[3]BR RZiS'!$O20+'[3]BR RZiS'!$K20)/'[3]BR RZiS'!$K20</f>
        <v>15.766460531102219</v>
      </c>
      <c r="F21" s="2">
        <f>(('[3]BR Bilans'!$AC20+'[3]BR Bilans'!$W20)-'[3]BR Bilans'!$N20)/('[3]BR RZiS'!$I20+'[3]BR Rpp_Orlen'!$C20)</f>
        <v>2.3723433043985094</v>
      </c>
      <c r="G21" s="2">
        <f>'[3]BR Bilans'!$J20/'[3]BR Bilans'!$AC20</f>
        <v>1.2703944073233373</v>
      </c>
      <c r="H21" s="3">
        <f>('[3]BR Bilans'!$J20-'[3]BR Bilans'!$K20-'[3]BR Bilans'!$AI20)/'[3]BR Bilans'!$AC20</f>
        <v>0.79319458209448301</v>
      </c>
      <c r="I21" s="3">
        <f>'[3]BR Bilans'!$N20/'[3]BR Bilans'!$AC20</f>
        <v>0.22808700192887668</v>
      </c>
      <c r="J21" s="5">
        <f>(('[3]BR RZiS'!$I20/'[3]BR RZiS'!$B20))*100</f>
        <v>14.804873830900261</v>
      </c>
      <c r="K21" s="5">
        <f>('[3]BR RZiS'!$Q20/'[3]BR Bilans'!$Q20)*100</f>
        <v>12.34912439824182</v>
      </c>
      <c r="L21" s="5">
        <f>('[3]BR RZiS'!$Q20/'[3]BR Bilans'!$R20)*100</f>
        <v>24.737399593962397</v>
      </c>
      <c r="M21" s="5">
        <f>('[3]BR RZiS'!$Q20/'[3]BR RZiS'!$B20)*100</f>
        <v>12.116124569468663</v>
      </c>
      <c r="N21" s="2">
        <f>('[3]BR Bilans'!$L20/'[3]BR RZiS'!$B20)*365</f>
        <v>49.849476156850315</v>
      </c>
      <c r="O21" s="2">
        <f>('[3]BR Bilans'!$AC20/'[3]BR RZiS'!$B20)*365</f>
        <v>123.39678416509345</v>
      </c>
      <c r="P21" s="2">
        <f>('[3]BR Bilans'!$K20/'[3]BR RZiS'!$B20)*365</f>
        <v>58.884923837385251</v>
      </c>
      <c r="Z21" s="8">
        <v>2020</v>
      </c>
      <c r="AA21" s="30">
        <f>ROUND(2825000 / 1000000, 2)</f>
        <v>2.83</v>
      </c>
      <c r="AB21" s="20">
        <f t="shared" si="0"/>
        <v>-0.34186046511627904</v>
      </c>
      <c r="AC21" s="30">
        <f>ROUND(83827000 / 1000000, 2)</f>
        <v>83.83</v>
      </c>
      <c r="AD21" s="20">
        <f t="shared" si="1"/>
        <v>0.17738764044943814</v>
      </c>
      <c r="AE21" s="30">
        <f>ROUND(7247000 / 1000000, 2)</f>
        <v>7.25</v>
      </c>
      <c r="AF21" s="21">
        <f t="shared" si="2"/>
        <v>-0.22210300429184551</v>
      </c>
      <c r="AG21" s="20"/>
    </row>
    <row r="22" spans="2:35" x14ac:dyDescent="0.25">
      <c r="B22">
        <v>2023</v>
      </c>
      <c r="C22" s="5">
        <f>(('[3]BR Bilans'!$W21+'[3]BR Bilans'!$AC21)/'[3]BR Bilans'!$Q21)*100</f>
        <v>42.016367752045966</v>
      </c>
      <c r="D22" s="5">
        <f>(('[3]BR Bilans'!$W21+'[3]BR Bilans'!$AC21)/('[3]BR Bilans'!$R21+'[3]BR Bilans'!$V21))*100</f>
        <v>72.462462462462469</v>
      </c>
      <c r="E22" s="2">
        <f>('[3]BR RZiS'!$O21+'[3]BR RZiS'!$K21)/'[3]BR RZiS'!$K21</f>
        <v>15.106095858538856</v>
      </c>
      <c r="F22" s="2">
        <f>(('[3]BR Bilans'!$AC21+'[3]BR Bilans'!$W21)-'[3]BR Bilans'!$N21)/('[3]BR RZiS'!$I21+'[3]BR Rpp_Orlen'!$C21)</f>
        <v>2.3117900416508896</v>
      </c>
      <c r="G22" s="2">
        <f>'[3]BR Bilans'!$J21/'[3]BR Bilans'!$AC21</f>
        <v>1.3459254561701883</v>
      </c>
      <c r="H22" s="3">
        <f>('[3]BR Bilans'!$J21-'[3]BR Bilans'!$K21-'[3]BR Bilans'!$AI21)/'[3]BR Bilans'!$AC21</f>
        <v>0.87326684154391632</v>
      </c>
      <c r="I22" s="3">
        <f>'[3]BR Bilans'!$N21/'[3]BR Bilans'!$AC21</f>
        <v>0.19185091234037646</v>
      </c>
      <c r="J22" s="5">
        <f>(('[3]BR RZiS'!$I21/'[3]BR RZiS'!$B21))*100</f>
        <v>7.5264173062529682</v>
      </c>
      <c r="K22" s="5">
        <f>('[3]BR RZiS'!$Q21/'[3]BR Bilans'!$Q21)*100</f>
        <v>7.8458463611655773</v>
      </c>
      <c r="L22" s="5">
        <f>('[3]BR RZiS'!$Q21/'[3]BR Bilans'!$R21)*100</f>
        <v>13.628831814415907</v>
      </c>
      <c r="M22" s="5">
        <f>('[3]BR RZiS'!$Q21/'[3]BR RZiS'!$B21)*100</f>
        <v>5.5603097913710178</v>
      </c>
      <c r="N22" s="2">
        <f>('[3]BR Bilans'!$L21/'[3]BR RZiS'!$B21)*365</f>
        <v>40.281824839645139</v>
      </c>
      <c r="O22" s="2">
        <f>('[3]BR Bilans'!$AC21/'[3]BR RZiS'!$B21)*365</f>
        <v>67.936351662030177</v>
      </c>
      <c r="P22" s="2">
        <f>('[3]BR Bilans'!$K21/'[3]BR RZiS'!$B21)*365</f>
        <v>32.110701859338405</v>
      </c>
      <c r="Z22" s="7">
        <v>2021</v>
      </c>
      <c r="AA22" s="31">
        <f>ROUND(11188000 / 1000000, 2)</f>
        <v>11.19</v>
      </c>
      <c r="AB22" s="20">
        <f t="shared" si="0"/>
        <v>2.9540636042402824</v>
      </c>
      <c r="AC22" s="31">
        <f>ROUND(106754000 / 1000000, 2)</f>
        <v>106.75</v>
      </c>
      <c r="AD22" s="20">
        <f t="shared" si="1"/>
        <v>0.27341047357747827</v>
      </c>
      <c r="AE22" s="31">
        <f>ROUND(13296000 / 1000000, 2)</f>
        <v>13.3</v>
      </c>
      <c r="AF22" s="21">
        <f t="shared" si="2"/>
        <v>0.83448275862068977</v>
      </c>
      <c r="AG22" s="20"/>
    </row>
    <row r="23" spans="2:35" x14ac:dyDescent="0.25">
      <c r="B23">
        <v>2024</v>
      </c>
      <c r="C23" s="5">
        <f>(('[3]BR Bilans'!$W22+'[3]BR Bilans'!$AC22)/'[3]BR Bilans'!$Q22)*100</f>
        <v>41.668252506260892</v>
      </c>
      <c r="D23" s="5">
        <f>(('[3]BR Bilans'!$W22+'[3]BR Bilans'!$AC22)/('[3]BR Bilans'!$R22+'[3]BR Bilans'!$V22))*100</f>
        <v>71.433231981835036</v>
      </c>
      <c r="E23" s="2">
        <f>('[3]BR RZiS'!$O22+'[3]BR RZiS'!$K22)/'[3]BR RZiS'!$K22</f>
        <v>10.55576323987539</v>
      </c>
      <c r="F23" s="2">
        <f>(('[3]BR Bilans'!$AC22+'[3]BR Bilans'!$W22)-'[3]BR Bilans'!$N22)/('[3]BR RZiS'!$I22+'[3]BR Rpp_Orlen'!$C22)</f>
        <v>3.3254957602783688</v>
      </c>
      <c r="G23" s="2">
        <f>'[3]BR Bilans'!$J22/'[3]BR Bilans'!$AC22</f>
        <v>1.1389036368462968</v>
      </c>
      <c r="H23" s="3">
        <f>('[3]BR Bilans'!$J22-'[3]BR Bilans'!$K22-'[3]BR Bilans'!$AI22)/'[3]BR Bilans'!$AC22</f>
        <v>0.78779532784709316</v>
      </c>
      <c r="I23" s="3">
        <f>'[3]BR Bilans'!$N22/'[3]BR Bilans'!$AC22</f>
        <v>0.18320281391027343</v>
      </c>
      <c r="J23" s="5">
        <f>(('[3]BR RZiS'!$I22/'[3]BR RZiS'!$B22))*100</f>
        <v>5.2753521672217598</v>
      </c>
      <c r="K23" s="5">
        <f>('[3]BR RZiS'!$Q22/'[3]BR Bilans'!$Q22)*100</f>
        <v>3.0269237502949662</v>
      </c>
      <c r="L23" s="5">
        <f>('[3]BR RZiS'!$Q22/'[3]BR Bilans'!$R22)*100</f>
        <v>5.2248807599826561</v>
      </c>
      <c r="M23" s="5">
        <f>('[3]BR RZiS'!$Q22/'[3]BR RZiS'!$B22)*100</f>
        <v>2.6782557156664319</v>
      </c>
      <c r="N23" s="2">
        <f>('[3]BR Bilans'!$L22/'[3]BR RZiS'!$B22)*365</f>
        <v>40.21862487245199</v>
      </c>
      <c r="O23" s="2">
        <f>('[3]BR Bilans'!$AC22/'[3]BR RZiS'!$B22)*365</f>
        <v>74.084870364071705</v>
      </c>
      <c r="P23" s="2">
        <f>('[3]BR Bilans'!$K22/'[3]BR RZiS'!$B22)*365</f>
        <v>26.011813555954429</v>
      </c>
      <c r="Z23" s="8">
        <v>2022</v>
      </c>
      <c r="AA23" s="30">
        <f>ROUND(33630000 / 1000000, 2)</f>
        <v>33.630000000000003</v>
      </c>
      <c r="AB23" s="20">
        <f t="shared" si="0"/>
        <v>2.0053619302949066</v>
      </c>
      <c r="AC23" s="30">
        <f>ROUND(272327000 / 1000000, 2)</f>
        <v>272.33</v>
      </c>
      <c r="AD23" s="20">
        <f t="shared" si="1"/>
        <v>1.5511007025761123</v>
      </c>
      <c r="AE23" s="30">
        <f>ROUND(30951000 / 1000000, 2)</f>
        <v>30.95</v>
      </c>
      <c r="AF23" s="21">
        <f t="shared" si="2"/>
        <v>1.3270676691729322</v>
      </c>
      <c r="AG23" s="20"/>
    </row>
    <row r="24" spans="2:35" ht="15.75" thickBot="1" x14ac:dyDescent="0.3">
      <c r="B24" s="24" t="s">
        <v>4</v>
      </c>
      <c r="C24" t="str" cm="1">
        <f t="array" ref="C24:C45">CHOOSE(MATCH('Orlen dashboard'!J4, {"Zadłużenie ogólne(%)","Zadłużenie do kapitału własnego(%)","Pokrycie odsetek zyskiem","Dług netto do EBITDA","Płynności bieżącej","Płynności szybkiej","Płynności natychmiastowej","Marża operacyjna EBIT(%)","ROA(Rentowność aktywów)(%)","ROE (Rentowność kapitału własnego)(%)","Marża netto(%)","Rotacja należności( w dniach)","Rotacja zobowiazań( w dniach)","Rotacja zapasów( w dniach)"}, 0),Wska_roczne8[[#All],[Zadłużenie ogólne(%)]],Wska_roczne8[[#All],[Zadłużenie do kapitału własnego(%)]],Wska_roczne8[[#All],[Pokrycie odsetek zyskiem]],Wska_roczne8[[#All],[Dług netto do EBITDA]],Wska_roczne8[[#All],[Płynności bieżącej]],Wska_roczne8[[#All],[Płynności szybkiej]],Wska_roczne8[[#All],[Płynności natychmiastowej]],Wska_roczne8[[#All],[Marża operacyjna EBIT(%)]],Wska_roczne8[[#All],[ROA(Rentowność aktywów)(%)]],Wska_roczne8[[#All],[ROE (Rentowność kapitału własnego)(%)]],Wska_roczne8[[#All],[Marża netto(%)]],Wska_roczne8[[#All],[Rotacja należności( w dniach)]],Wska_roczne8[[#All],[Rotacja zobowiazań( w dniach)]],Wska_roczne8[[#All],[Rotacja zapasów( w dniach)]])</f>
        <v>Pokrycie odsetek zyskiem</v>
      </c>
      <c r="D24" t="str" cm="1">
        <f t="array" ref="D24:D45">CHOOSE(MATCH('Orlen dashboard'!K4, {"Zadłużenie ogólne(%)","Zadłużenie do kapitału własnego(%)","Pokrycie odsetek zyskiem","Dług netto do EBITDA","Płynności bieżącej","Płynności szybkiej","Płynności natychmiastowej","Marża operacyjna EBIT(%)","ROA(Rentowność aktywów)(%)","ROE (Rentowność kapitału własnego)(%)","Marża netto(%)","Rotacja należności( w dniach)","Rotacja zobowiazań( w dniach)","Rotacja zapasów( w dniach)"}, 0),Wska_roczne8[[#All],[Zadłużenie ogólne(%)]],Wska_roczne8[[#All],[Zadłużenie do kapitału własnego(%)]],Wska_roczne8[[#All],[Pokrycie odsetek zyskiem]],Wska_roczne8[[#All],[Dług netto do EBITDA]],Wska_roczne8[[#All],[Płynności bieżącej]],Wska_roczne8[[#All],[Płynności szybkiej]],Wska_roczne8[[#All],[Płynności natychmiastowej]],Wska_roczne8[[#All],[Marża operacyjna EBIT(%)]],Wska_roczne8[[#All],[ROA(Rentowność aktywów)(%)]],Wska_roczne8[[#All],[ROE (Rentowność kapitału własnego)(%)]],Wska_roczne8[[#All],[Marża netto(%)]],Wska_roczne8[[#All],[Rotacja należności( w dniach)]],Wska_roczne8[[#All],[Rotacja zobowiazań( w dniach)]],Wska_roczne8[[#All],[Rotacja zapasów( w dniach)]])</f>
        <v>ROE (Rentowność kapitału własnego)(%)</v>
      </c>
      <c r="E24" t="s">
        <v>15</v>
      </c>
      <c r="G24" t="s">
        <v>5</v>
      </c>
      <c r="Z24" s="7">
        <v>2023</v>
      </c>
      <c r="AA24" s="31">
        <f>ROUND(20727000 / 1000000, 2)</f>
        <v>20.73</v>
      </c>
      <c r="AB24" s="20">
        <f t="shared" si="0"/>
        <v>-0.38358608385370208</v>
      </c>
      <c r="AC24" s="31">
        <f>ROUND(264178000 / 1000000, 2)</f>
        <v>264.18</v>
      </c>
      <c r="AD24" s="20">
        <f t="shared" si="1"/>
        <v>-2.9926926890169934E-2</v>
      </c>
      <c r="AE24" s="31">
        <f>ROUND(41914000 / 1000000, 2)</f>
        <v>41.91</v>
      </c>
      <c r="AF24" s="21">
        <f t="shared" si="2"/>
        <v>0.35411954765751202</v>
      </c>
      <c r="AG24" s="20"/>
    </row>
    <row r="25" spans="2:35" x14ac:dyDescent="0.25">
      <c r="B25" s="8">
        <v>2004</v>
      </c>
      <c r="C25">
        <v>9.5616993300015274</v>
      </c>
      <c r="D25">
        <v>19.236441834839241</v>
      </c>
      <c r="E25">
        <f t="shared" ref="E25:E45" si="3">IF($B25&lt;&gt;rok,$C25,NA())</f>
        <v>9.5616993300015274</v>
      </c>
      <c r="F25" t="e">
        <f t="shared" ref="F25:F45" si="4">IF($B25=rok,$C25,NA())</f>
        <v>#N/A</v>
      </c>
      <c r="G25">
        <f t="shared" ref="G25:G45" si="5">IF($B25&lt;&gt;rok,$D25,NA())</f>
        <v>19.236441834839241</v>
      </c>
      <c r="H25" t="e">
        <f t="shared" ref="H25:H45" si="6">IF($B25=rok,$D25,NA())</f>
        <v>#N/A</v>
      </c>
      <c r="I25" s="47" t="s">
        <v>109</v>
      </c>
      <c r="L25" s="32" t="s">
        <v>4</v>
      </c>
      <c r="M25" s="32" t="s">
        <v>110</v>
      </c>
      <c r="N25" t="s">
        <v>57</v>
      </c>
      <c r="P25" t="s">
        <v>49</v>
      </c>
      <c r="Q25" t="s">
        <v>57</v>
      </c>
      <c r="Z25" s="27">
        <v>2024</v>
      </c>
      <c r="AA25" s="31">
        <f>ROUND(7953000 / 1000000, 2)</f>
        <v>7.95</v>
      </c>
      <c r="AB25" s="20">
        <f t="shared" si="0"/>
        <v>-0.61649782923299568</v>
      </c>
      <c r="AC25" s="31">
        <f>ROUND(262742000 / 1000000, 2)</f>
        <v>262.74</v>
      </c>
      <c r="AD25" s="20">
        <f t="shared" si="1"/>
        <v>-5.4508289802407362E-3</v>
      </c>
      <c r="AE25" s="31">
        <f>ROUND(36634000 / 1000000, 2)</f>
        <v>36.630000000000003</v>
      </c>
      <c r="AF25" s="21">
        <f t="shared" si="2"/>
        <v>-0.1259842519685038</v>
      </c>
    </row>
    <row r="26" spans="2:35" x14ac:dyDescent="0.25">
      <c r="B26" s="7">
        <v>2005</v>
      </c>
      <c r="C26">
        <v>11.98110142754506</v>
      </c>
      <c r="D26">
        <v>27.818026291883729</v>
      </c>
      <c r="E26">
        <f t="shared" si="3"/>
        <v>11.98110142754506</v>
      </c>
      <c r="F26" t="e">
        <f t="shared" si="4"/>
        <v>#N/A</v>
      </c>
      <c r="G26">
        <f t="shared" si="5"/>
        <v>27.818026291883729</v>
      </c>
      <c r="H26" t="e">
        <f t="shared" si="6"/>
        <v>#N/A</v>
      </c>
      <c r="I26" s="47"/>
      <c r="L26" s="8">
        <v>2004</v>
      </c>
      <c r="M26" s="25">
        <v>12947815</v>
      </c>
      <c r="N26" s="22">
        <v>7921660</v>
      </c>
      <c r="P26" cm="1">
        <f t="array" ref="P26:Q26">_xlfn.XLOOKUP(year,L25:L46,M25:N46)</f>
        <v>153117000</v>
      </c>
      <c r="Q26">
        <v>119210000</v>
      </c>
      <c r="AC26" s="2"/>
    </row>
    <row r="27" spans="2:35" ht="18.75" x14ac:dyDescent="0.25">
      <c r="B27" s="8">
        <v>2006</v>
      </c>
      <c r="C27">
        <v>5.0685634981918142</v>
      </c>
      <c r="D27">
        <v>10.928887365828972</v>
      </c>
      <c r="E27">
        <f t="shared" si="3"/>
        <v>5.0685634981918142</v>
      </c>
      <c r="F27" t="e">
        <f t="shared" si="4"/>
        <v>#N/A</v>
      </c>
      <c r="G27">
        <f t="shared" si="5"/>
        <v>10.928887365828972</v>
      </c>
      <c r="H27" t="e">
        <f t="shared" si="6"/>
        <v>#N/A</v>
      </c>
      <c r="I27" s="47"/>
      <c r="L27" s="7">
        <v>2005</v>
      </c>
      <c r="M27" s="26">
        <v>20885532</v>
      </c>
      <c r="N27" s="23">
        <v>12518779</v>
      </c>
      <c r="W27" t="s">
        <v>4</v>
      </c>
      <c r="X27" s="9" t="s">
        <v>111</v>
      </c>
      <c r="Y27" s="15" t="s">
        <v>64</v>
      </c>
      <c r="Z27" s="9" t="s">
        <v>20</v>
      </c>
    </row>
    <row r="28" spans="2:35" x14ac:dyDescent="0.25">
      <c r="B28" s="7">
        <v>2007</v>
      </c>
      <c r="C28">
        <v>3.8670092530702331</v>
      </c>
      <c r="D28">
        <v>12.442359258071159</v>
      </c>
      <c r="E28">
        <f t="shared" si="3"/>
        <v>3.8670092530702331</v>
      </c>
      <c r="F28" t="e">
        <f t="shared" si="4"/>
        <v>#N/A</v>
      </c>
      <c r="G28">
        <f t="shared" si="5"/>
        <v>12.442359258071159</v>
      </c>
      <c r="H28" t="e">
        <f t="shared" si="6"/>
        <v>#N/A</v>
      </c>
      <c r="I28" s="47"/>
      <c r="L28" s="8">
        <v>2006</v>
      </c>
      <c r="M28" s="25">
        <v>27660798</v>
      </c>
      <c r="N28" s="22">
        <v>17758286</v>
      </c>
      <c r="W28" cm="1">
        <f t="array" ref="W28:W48">Z5:Z25</f>
        <v>2004</v>
      </c>
      <c r="X28" s="16">
        <v>2537596</v>
      </c>
      <c r="Y28" s="16">
        <v>20869475</v>
      </c>
      <c r="Z28" s="16">
        <v>3636845</v>
      </c>
      <c r="AA28" cm="1">
        <f t="array" ref="AA28:AA48">_xlfn.XLOOKUP(wykresy,X27:Z27,X28:Z48)</f>
        <v>3636845</v>
      </c>
      <c r="AB28">
        <f t="shared" ref="AB28:AB48" si="7">IF($W28&lt;&gt;rok,$AA28,NA())</f>
        <v>3636845</v>
      </c>
      <c r="AC28" t="e">
        <f t="shared" ref="AC28:AC48" si="8">IF($W28=rok,$AA28,NA())</f>
        <v>#N/A</v>
      </c>
    </row>
    <row r="29" spans="2:35" x14ac:dyDescent="0.25">
      <c r="B29" s="8">
        <v>2008</v>
      </c>
      <c r="C29">
        <v>-0.27789300845878917</v>
      </c>
      <c r="D29">
        <v>-14.184096404155797</v>
      </c>
      <c r="E29">
        <f t="shared" si="3"/>
        <v>-0.27789300845878917</v>
      </c>
      <c r="F29" t="e">
        <f t="shared" si="4"/>
        <v>#N/A</v>
      </c>
      <c r="G29">
        <f t="shared" si="5"/>
        <v>-14.184096404155797</v>
      </c>
      <c r="H29" t="e">
        <f t="shared" si="6"/>
        <v>#N/A</v>
      </c>
      <c r="I29" s="47"/>
      <c r="L29" s="7">
        <v>2007</v>
      </c>
      <c r="M29" s="26">
        <v>26736337</v>
      </c>
      <c r="N29" s="23">
        <v>19366488</v>
      </c>
      <c r="W29">
        <v>2005</v>
      </c>
      <c r="X29" s="17">
        <v>4637776</v>
      </c>
      <c r="Y29" s="17">
        <v>33404311</v>
      </c>
      <c r="Z29" s="17">
        <v>3663889</v>
      </c>
      <c r="AA29">
        <v>3663889</v>
      </c>
      <c r="AB29">
        <f t="shared" si="7"/>
        <v>3663889</v>
      </c>
      <c r="AC29" t="e">
        <f t="shared" si="8"/>
        <v>#N/A</v>
      </c>
    </row>
    <row r="30" spans="2:35" x14ac:dyDescent="0.25">
      <c r="B30" s="7">
        <v>2009</v>
      </c>
      <c r="C30">
        <v>2.4081601135401742</v>
      </c>
      <c r="D30">
        <v>6.8293603554971369</v>
      </c>
      <c r="E30">
        <f t="shared" si="3"/>
        <v>2.4081601135401742</v>
      </c>
      <c r="F30" t="e">
        <f t="shared" si="4"/>
        <v>#N/A</v>
      </c>
      <c r="G30">
        <f t="shared" si="5"/>
        <v>6.8293603554971369</v>
      </c>
      <c r="H30" t="e">
        <f t="shared" si="6"/>
        <v>#N/A</v>
      </c>
      <c r="I30" s="47"/>
      <c r="L30" s="8">
        <v>2008</v>
      </c>
      <c r="M30" s="25">
        <v>29280856</v>
      </c>
      <c r="N30" s="22">
        <v>17694894</v>
      </c>
      <c r="W30">
        <v>2006</v>
      </c>
      <c r="X30" s="16">
        <v>2060198</v>
      </c>
      <c r="Y30" s="16">
        <v>45419084</v>
      </c>
      <c r="Z30" s="16">
        <v>3693189</v>
      </c>
      <c r="AA30">
        <v>3693189</v>
      </c>
      <c r="AB30">
        <f t="shared" si="7"/>
        <v>3693189</v>
      </c>
      <c r="AC30" t="e">
        <f t="shared" si="8"/>
        <v>#N/A</v>
      </c>
    </row>
    <row r="31" spans="2:35" x14ac:dyDescent="0.25">
      <c r="B31" s="8">
        <v>2010</v>
      </c>
      <c r="C31">
        <v>5.0867556386173405</v>
      </c>
      <c r="D31">
        <v>11.353218230975139</v>
      </c>
      <c r="E31">
        <f t="shared" si="3"/>
        <v>5.0867556386173405</v>
      </c>
      <c r="F31" t="e">
        <f t="shared" si="4"/>
        <v>#N/A</v>
      </c>
      <c r="G31">
        <f t="shared" si="5"/>
        <v>11.353218230975139</v>
      </c>
      <c r="H31" t="e">
        <f t="shared" si="6"/>
        <v>#N/A</v>
      </c>
      <c r="I31" s="47"/>
      <c r="L31" s="7">
        <v>2009</v>
      </c>
      <c r="M31" s="26">
        <v>29655024</v>
      </c>
      <c r="N31" s="23">
        <v>19433046</v>
      </c>
      <c r="W31">
        <v>2007</v>
      </c>
      <c r="X31" s="17">
        <v>2480426</v>
      </c>
      <c r="Y31" s="17">
        <v>46102825</v>
      </c>
      <c r="Z31" s="17">
        <v>1965066</v>
      </c>
      <c r="AA31">
        <v>1965066</v>
      </c>
      <c r="AB31">
        <f t="shared" si="7"/>
        <v>1965066</v>
      </c>
      <c r="AC31" t="e">
        <f t="shared" si="8"/>
        <v>#N/A</v>
      </c>
    </row>
    <row r="32" spans="2:35" x14ac:dyDescent="0.25">
      <c r="B32" s="7">
        <v>2011</v>
      </c>
      <c r="C32">
        <v>2.2445489094698363</v>
      </c>
      <c r="D32">
        <v>8.2131802556418858</v>
      </c>
      <c r="E32">
        <f t="shared" si="3"/>
        <v>2.2445489094698363</v>
      </c>
      <c r="F32" t="e">
        <f t="shared" si="4"/>
        <v>#N/A</v>
      </c>
      <c r="G32">
        <f t="shared" si="5"/>
        <v>8.2131802556418858</v>
      </c>
      <c r="H32" t="e">
        <f t="shared" si="6"/>
        <v>#N/A</v>
      </c>
      <c r="I32" s="47"/>
      <c r="L32" s="8">
        <v>2010</v>
      </c>
      <c r="M32" s="25">
        <v>30430874</v>
      </c>
      <c r="N32" s="22">
        <v>20718918</v>
      </c>
      <c r="W32">
        <v>2008</v>
      </c>
      <c r="X32" s="16">
        <v>-2526626</v>
      </c>
      <c r="Y32" s="16">
        <v>46975750</v>
      </c>
      <c r="Z32" s="16">
        <v>3616760</v>
      </c>
      <c r="AA32">
        <v>3616760</v>
      </c>
      <c r="AB32">
        <f t="shared" si="7"/>
        <v>3616760</v>
      </c>
      <c r="AC32" t="e">
        <f t="shared" si="8"/>
        <v>#N/A</v>
      </c>
    </row>
    <row r="33" spans="2:29" x14ac:dyDescent="0.25">
      <c r="B33" s="8">
        <v>2012</v>
      </c>
      <c r="C33">
        <v>3.6746570107192431</v>
      </c>
      <c r="D33">
        <v>8.1950778926860561</v>
      </c>
      <c r="E33">
        <f t="shared" si="3"/>
        <v>3.6746570107192431</v>
      </c>
      <c r="F33" t="e">
        <f t="shared" si="4"/>
        <v>#N/A</v>
      </c>
      <c r="G33">
        <f t="shared" si="5"/>
        <v>8.1950778926860561</v>
      </c>
      <c r="H33" t="e">
        <f t="shared" si="6"/>
        <v>#N/A</v>
      </c>
      <c r="I33" s="47"/>
      <c r="L33" s="7">
        <v>2011</v>
      </c>
      <c r="M33" s="26">
        <v>28599141</v>
      </c>
      <c r="N33" s="23">
        <v>30132337</v>
      </c>
      <c r="W33">
        <v>2009</v>
      </c>
      <c r="X33" s="17">
        <v>1300167</v>
      </c>
      <c r="Y33" s="17">
        <v>49088070</v>
      </c>
      <c r="Z33" s="17">
        <v>5161793</v>
      </c>
      <c r="AA33">
        <v>5161793</v>
      </c>
      <c r="AB33">
        <f t="shared" si="7"/>
        <v>5161793</v>
      </c>
      <c r="AC33" t="e">
        <f t="shared" si="8"/>
        <v>#N/A</v>
      </c>
    </row>
    <row r="34" spans="2:29" x14ac:dyDescent="0.25">
      <c r="B34" s="7">
        <v>2013</v>
      </c>
      <c r="C34">
        <v>1.2834394904458599</v>
      </c>
      <c r="D34">
        <v>0.34684754123631878</v>
      </c>
      <c r="E34">
        <f t="shared" si="3"/>
        <v>1.2834394904458599</v>
      </c>
      <c r="F34" t="e">
        <f t="shared" si="4"/>
        <v>#N/A</v>
      </c>
      <c r="G34">
        <f t="shared" si="5"/>
        <v>0.34684754123631878</v>
      </c>
      <c r="H34" t="e">
        <f t="shared" si="6"/>
        <v>#N/A</v>
      </c>
      <c r="I34" s="47"/>
      <c r="L34" s="8">
        <v>2012</v>
      </c>
      <c r="M34" s="25">
        <v>26810637</v>
      </c>
      <c r="N34" s="22">
        <v>25820143</v>
      </c>
      <c r="W34">
        <v>2010</v>
      </c>
      <c r="X34" s="16">
        <v>2455467</v>
      </c>
      <c r="Y34" s="16">
        <v>51149792</v>
      </c>
      <c r="Z34" s="16">
        <v>6110199</v>
      </c>
      <c r="AA34">
        <v>6110199</v>
      </c>
      <c r="AB34">
        <f t="shared" si="7"/>
        <v>6110199</v>
      </c>
      <c r="AC34" t="e">
        <f t="shared" si="8"/>
        <v>#N/A</v>
      </c>
    </row>
    <row r="35" spans="2:29" x14ac:dyDescent="0.25">
      <c r="B35" s="8">
        <v>2014</v>
      </c>
      <c r="C35">
        <v>-2.3065113816834302</v>
      </c>
      <c r="D35">
        <v>-31.047893026477013</v>
      </c>
      <c r="E35">
        <f t="shared" si="3"/>
        <v>-2.3065113816834302</v>
      </c>
      <c r="F35" t="e">
        <f t="shared" si="4"/>
        <v>#N/A</v>
      </c>
      <c r="G35">
        <f t="shared" si="5"/>
        <v>-31.047893026477013</v>
      </c>
      <c r="H35" t="e">
        <f t="shared" si="6"/>
        <v>#N/A</v>
      </c>
      <c r="I35" s="47"/>
      <c r="L35" s="7">
        <v>2013</v>
      </c>
      <c r="M35" s="26">
        <v>26907000</v>
      </c>
      <c r="N35" s="23">
        <v>24445000</v>
      </c>
      <c r="W35">
        <v>2011</v>
      </c>
      <c r="X35" s="17">
        <v>2015003</v>
      </c>
      <c r="Y35" s="17">
        <v>58731478</v>
      </c>
      <c r="Z35" s="17">
        <v>761106</v>
      </c>
      <c r="AA35">
        <v>761106</v>
      </c>
      <c r="AB35">
        <f t="shared" si="7"/>
        <v>761106</v>
      </c>
      <c r="AC35" t="e">
        <f t="shared" si="8"/>
        <v>#N/A</v>
      </c>
    </row>
    <row r="36" spans="2:29" x14ac:dyDescent="0.25">
      <c r="B36" s="7">
        <v>2015</v>
      </c>
      <c r="C36">
        <v>4.583333333333333</v>
      </c>
      <c r="D36">
        <v>14.580796464168133</v>
      </c>
      <c r="E36">
        <f t="shared" si="3"/>
        <v>4.583333333333333</v>
      </c>
      <c r="F36" t="e">
        <f t="shared" si="4"/>
        <v>#N/A</v>
      </c>
      <c r="G36">
        <f t="shared" si="5"/>
        <v>14.580796464168133</v>
      </c>
      <c r="H36" t="e">
        <f t="shared" si="6"/>
        <v>#N/A</v>
      </c>
      <c r="I36" s="47"/>
      <c r="L36" s="8">
        <v>2014</v>
      </c>
      <c r="M36" s="25">
        <v>24971000</v>
      </c>
      <c r="N36" s="22">
        <v>21754000</v>
      </c>
      <c r="W36">
        <v>2012</v>
      </c>
      <c r="X36" s="16">
        <v>2169990</v>
      </c>
      <c r="Y36" s="16">
        <v>52630780</v>
      </c>
      <c r="Z36" s="16">
        <v>3089185</v>
      </c>
      <c r="AA36">
        <v>3089185</v>
      </c>
      <c r="AB36">
        <f t="shared" si="7"/>
        <v>3089185</v>
      </c>
      <c r="AC36" t="e">
        <f t="shared" si="8"/>
        <v>#N/A</v>
      </c>
    </row>
    <row r="37" spans="2:29" x14ac:dyDescent="0.25">
      <c r="B37" s="8">
        <v>2016</v>
      </c>
      <c r="C37">
        <v>8.712206047032474</v>
      </c>
      <c r="D37">
        <v>21.446719473920194</v>
      </c>
      <c r="E37">
        <f t="shared" si="3"/>
        <v>8.712206047032474</v>
      </c>
      <c r="F37" t="e">
        <f t="shared" si="4"/>
        <v>#N/A</v>
      </c>
      <c r="G37">
        <f t="shared" si="5"/>
        <v>21.446719473920194</v>
      </c>
      <c r="H37" t="e">
        <f t="shared" si="6"/>
        <v>#N/A</v>
      </c>
      <c r="I37" s="47"/>
      <c r="L37" s="7">
        <v>2015</v>
      </c>
      <c r="M37" s="26">
        <v>27362000</v>
      </c>
      <c r="N37" s="23">
        <v>20775000</v>
      </c>
      <c r="W37">
        <v>2013</v>
      </c>
      <c r="X37" s="17">
        <v>90000</v>
      </c>
      <c r="Y37" s="17">
        <v>51352000</v>
      </c>
      <c r="Z37" s="17">
        <v>5671000</v>
      </c>
      <c r="AA37">
        <v>5671000</v>
      </c>
      <c r="AB37">
        <f t="shared" si="7"/>
        <v>5671000</v>
      </c>
      <c r="AC37" t="e">
        <f t="shared" si="8"/>
        <v>#N/A</v>
      </c>
    </row>
    <row r="38" spans="2:29" x14ac:dyDescent="0.25">
      <c r="B38" s="7">
        <v>2017</v>
      </c>
      <c r="C38">
        <v>6.1276470588235297</v>
      </c>
      <c r="D38">
        <v>22.27847314967233</v>
      </c>
      <c r="E38">
        <f t="shared" si="3"/>
        <v>6.1276470588235297</v>
      </c>
      <c r="F38" t="e">
        <f t="shared" si="4"/>
        <v>#N/A</v>
      </c>
      <c r="G38">
        <f t="shared" si="5"/>
        <v>22.27847314967233</v>
      </c>
      <c r="H38" t="e">
        <f t="shared" si="6"/>
        <v>#N/A</v>
      </c>
      <c r="I38" s="47"/>
      <c r="L38" s="8">
        <v>2016</v>
      </c>
      <c r="M38" s="25">
        <v>30321000</v>
      </c>
      <c r="N38" s="22">
        <v>25238000</v>
      </c>
      <c r="W38">
        <v>2014</v>
      </c>
      <c r="X38" s="16">
        <v>-5828000</v>
      </c>
      <c r="Y38" s="16">
        <v>46725000</v>
      </c>
      <c r="Z38" s="16">
        <v>3187000</v>
      </c>
      <c r="AA38">
        <v>3187000</v>
      </c>
      <c r="AB38">
        <f t="shared" si="7"/>
        <v>3187000</v>
      </c>
      <c r="AC38" t="e">
        <f t="shared" si="8"/>
        <v>#N/A</v>
      </c>
    </row>
    <row r="39" spans="2:29" x14ac:dyDescent="0.25">
      <c r="B39" s="8">
        <v>2018</v>
      </c>
      <c r="C39">
        <v>5.6137112722478575</v>
      </c>
      <c r="D39">
        <v>15.465566593702643</v>
      </c>
      <c r="E39">
        <f t="shared" si="3"/>
        <v>5.6137112722478575</v>
      </c>
      <c r="F39" t="e">
        <f t="shared" si="4"/>
        <v>#N/A</v>
      </c>
      <c r="G39">
        <f t="shared" si="5"/>
        <v>15.465566593702643</v>
      </c>
      <c r="H39" t="e">
        <f t="shared" si="6"/>
        <v>#N/A</v>
      </c>
      <c r="I39" s="47"/>
      <c r="L39" s="7">
        <v>2017</v>
      </c>
      <c r="M39" s="26">
        <v>31740000</v>
      </c>
      <c r="N39" s="23">
        <v>28924000</v>
      </c>
      <c r="W39">
        <v>2015</v>
      </c>
      <c r="X39" s="17">
        <v>3233000</v>
      </c>
      <c r="Y39" s="17">
        <v>48137000</v>
      </c>
      <c r="Z39" s="17">
        <v>5354000</v>
      </c>
      <c r="AA39">
        <v>5354000</v>
      </c>
      <c r="AB39">
        <f t="shared" si="7"/>
        <v>5354000</v>
      </c>
      <c r="AC39" t="e">
        <f t="shared" si="8"/>
        <v>#N/A</v>
      </c>
    </row>
    <row r="40" spans="2:29" x14ac:dyDescent="0.25">
      <c r="B40" s="7">
        <v>2019</v>
      </c>
      <c r="C40">
        <v>6.940066592674806</v>
      </c>
      <c r="D40">
        <v>11.135869001969116</v>
      </c>
      <c r="E40">
        <f t="shared" si="3"/>
        <v>6.940066592674806</v>
      </c>
      <c r="F40" t="e">
        <f t="shared" si="4"/>
        <v>#N/A</v>
      </c>
      <c r="G40">
        <f t="shared" si="5"/>
        <v>11.135869001969116</v>
      </c>
      <c r="H40" t="e">
        <f t="shared" si="6"/>
        <v>#N/A</v>
      </c>
      <c r="I40" s="47"/>
      <c r="L40" s="8">
        <v>2018</v>
      </c>
      <c r="M40" s="25">
        <v>33867000</v>
      </c>
      <c r="N40" s="22">
        <v>30164000</v>
      </c>
      <c r="W40">
        <v>2016</v>
      </c>
      <c r="X40" s="16">
        <v>5740000</v>
      </c>
      <c r="Y40" s="16">
        <v>55559000</v>
      </c>
      <c r="Z40" s="16">
        <v>9331000</v>
      </c>
      <c r="AA40">
        <v>9331000</v>
      </c>
      <c r="AB40">
        <f t="shared" si="7"/>
        <v>9331000</v>
      </c>
      <c r="AC40" t="e">
        <f t="shared" si="8"/>
        <v>#N/A</v>
      </c>
    </row>
    <row r="41" spans="2:29" x14ac:dyDescent="0.25">
      <c r="B41" s="8">
        <v>2020</v>
      </c>
      <c r="C41">
        <v>2.5468501852832186</v>
      </c>
      <c r="D41">
        <v>6.7915184152322343</v>
      </c>
      <c r="E41">
        <f t="shared" si="3"/>
        <v>2.5468501852832186</v>
      </c>
      <c r="F41" t="e">
        <f t="shared" si="4"/>
        <v>#N/A</v>
      </c>
      <c r="G41">
        <f t="shared" si="5"/>
        <v>6.7915184152322343</v>
      </c>
      <c r="H41" t="e">
        <f t="shared" si="6"/>
        <v>#N/A</v>
      </c>
      <c r="I41" s="47"/>
      <c r="L41" s="7">
        <v>2019</v>
      </c>
      <c r="M41" s="26">
        <v>39277000</v>
      </c>
      <c r="N41" s="23">
        <v>31925000</v>
      </c>
      <c r="W41">
        <v>2017</v>
      </c>
      <c r="X41" s="17">
        <v>7173000</v>
      </c>
      <c r="Y41" s="17">
        <v>60664000</v>
      </c>
      <c r="Z41" s="17">
        <v>8050000</v>
      </c>
      <c r="AA41">
        <v>8050000</v>
      </c>
      <c r="AB41">
        <f t="shared" si="7"/>
        <v>8050000</v>
      </c>
      <c r="AC41" t="e">
        <f t="shared" si="8"/>
        <v>#N/A</v>
      </c>
    </row>
    <row r="42" spans="2:29" x14ac:dyDescent="0.25">
      <c r="B42" s="7">
        <v>2021</v>
      </c>
      <c r="C42">
        <v>15.135330578512397</v>
      </c>
      <c r="D42">
        <v>21.637302492892648</v>
      </c>
      <c r="E42">
        <f t="shared" si="3"/>
        <v>15.135330578512397</v>
      </c>
      <c r="F42" t="e">
        <f t="shared" si="4"/>
        <v>#N/A</v>
      </c>
      <c r="G42">
        <f t="shared" si="5"/>
        <v>21.637302492892648</v>
      </c>
      <c r="H42" t="e">
        <f t="shared" si="6"/>
        <v>#N/A</v>
      </c>
      <c r="I42" s="47"/>
      <c r="L42" s="8">
        <v>2020</v>
      </c>
      <c r="M42" s="25">
        <v>59212000</v>
      </c>
      <c r="N42" s="22">
        <v>24615000</v>
      </c>
      <c r="W42">
        <v>2018</v>
      </c>
      <c r="X42" s="16">
        <v>5511000</v>
      </c>
      <c r="Y42" s="16">
        <v>64031000</v>
      </c>
      <c r="Z42" s="16">
        <v>4979000</v>
      </c>
      <c r="AA42">
        <v>4979000</v>
      </c>
      <c r="AB42">
        <f t="shared" si="7"/>
        <v>4979000</v>
      </c>
      <c r="AC42" t="e">
        <f t="shared" si="8"/>
        <v>#N/A</v>
      </c>
    </row>
    <row r="43" spans="2:29" x14ac:dyDescent="0.25">
      <c r="B43" s="8">
        <v>2022</v>
      </c>
      <c r="C43">
        <v>15.766460531102219</v>
      </c>
      <c r="D43">
        <v>24.737399593962397</v>
      </c>
      <c r="E43" t="e">
        <f t="shared" si="3"/>
        <v>#N/A</v>
      </c>
      <c r="F43">
        <f t="shared" si="4"/>
        <v>15.766460531102219</v>
      </c>
      <c r="G43" t="e">
        <f t="shared" si="5"/>
        <v>#N/A</v>
      </c>
      <c r="H43">
        <f t="shared" si="6"/>
        <v>24.737399593962397</v>
      </c>
      <c r="I43" s="47"/>
      <c r="L43" s="7">
        <v>2021</v>
      </c>
      <c r="M43" s="26">
        <v>68706000</v>
      </c>
      <c r="N43" s="23">
        <v>38048000</v>
      </c>
      <c r="W43">
        <v>2019</v>
      </c>
      <c r="X43" s="17">
        <v>4298000</v>
      </c>
      <c r="Y43" s="17">
        <v>71202000</v>
      </c>
      <c r="Z43" s="17">
        <v>9319000</v>
      </c>
      <c r="AA43">
        <v>9319000</v>
      </c>
      <c r="AB43">
        <f t="shared" si="7"/>
        <v>9319000</v>
      </c>
      <c r="AC43" t="e">
        <f t="shared" si="8"/>
        <v>#N/A</v>
      </c>
    </row>
    <row r="44" spans="2:29" x14ac:dyDescent="0.25">
      <c r="B44" s="7">
        <v>2023</v>
      </c>
      <c r="C44">
        <v>15.106095858538856</v>
      </c>
      <c r="D44">
        <v>13.628831814415907</v>
      </c>
      <c r="E44">
        <f t="shared" si="3"/>
        <v>15.106095858538856</v>
      </c>
      <c r="F44" t="e">
        <f t="shared" si="4"/>
        <v>#N/A</v>
      </c>
      <c r="G44">
        <f t="shared" si="5"/>
        <v>13.628831814415907</v>
      </c>
      <c r="H44" t="e">
        <f t="shared" si="6"/>
        <v>#N/A</v>
      </c>
      <c r="I44" s="47"/>
      <c r="L44" s="8">
        <v>2022</v>
      </c>
      <c r="M44" s="25">
        <v>153117000</v>
      </c>
      <c r="N44" s="22">
        <v>119210000</v>
      </c>
      <c r="W44">
        <v>2020</v>
      </c>
      <c r="X44" s="16">
        <v>2825000</v>
      </c>
      <c r="Y44" s="16">
        <v>83827000</v>
      </c>
      <c r="Z44" s="16">
        <v>7247000</v>
      </c>
      <c r="AA44">
        <v>7247000</v>
      </c>
      <c r="AB44">
        <f t="shared" si="7"/>
        <v>7247000</v>
      </c>
      <c r="AC44" t="e">
        <f t="shared" si="8"/>
        <v>#N/A</v>
      </c>
    </row>
    <row r="45" spans="2:29" x14ac:dyDescent="0.25">
      <c r="B45" s="27">
        <v>2024</v>
      </c>
      <c r="C45">
        <v>10.55576323987539</v>
      </c>
      <c r="D45">
        <v>5.2248807599826561</v>
      </c>
      <c r="E45">
        <f t="shared" si="3"/>
        <v>10.55576323987539</v>
      </c>
      <c r="F45" t="e">
        <f t="shared" si="4"/>
        <v>#N/A</v>
      </c>
      <c r="G45">
        <f t="shared" si="5"/>
        <v>5.2248807599826561</v>
      </c>
      <c r="H45" t="e">
        <f t="shared" si="6"/>
        <v>#N/A</v>
      </c>
      <c r="I45" s="47"/>
      <c r="L45" s="7">
        <v>2023</v>
      </c>
      <c r="M45" s="26">
        <v>170795000</v>
      </c>
      <c r="N45" s="23">
        <v>93383000</v>
      </c>
      <c r="W45">
        <v>2021</v>
      </c>
      <c r="X45" s="17">
        <v>11188000</v>
      </c>
      <c r="Y45" s="17">
        <v>106754000</v>
      </c>
      <c r="Z45" s="17">
        <v>13296000</v>
      </c>
      <c r="AA45">
        <v>13296000</v>
      </c>
      <c r="AB45">
        <f t="shared" si="7"/>
        <v>13296000</v>
      </c>
      <c r="AC45" t="e">
        <f t="shared" si="8"/>
        <v>#N/A</v>
      </c>
    </row>
    <row r="46" spans="2:29" x14ac:dyDescent="0.25">
      <c r="L46" s="8">
        <v>2024</v>
      </c>
      <c r="M46" s="25">
        <v>194098000</v>
      </c>
      <c r="N46" s="22">
        <v>68644000</v>
      </c>
      <c r="W46">
        <v>2022</v>
      </c>
      <c r="X46" s="16">
        <v>33630000</v>
      </c>
      <c r="Y46" s="16">
        <v>272327000</v>
      </c>
      <c r="Z46" s="16">
        <v>30951000</v>
      </c>
      <c r="AA46">
        <v>30951000</v>
      </c>
      <c r="AB46" t="e">
        <f t="shared" si="7"/>
        <v>#N/A</v>
      </c>
      <c r="AC46">
        <f t="shared" si="8"/>
        <v>30951000</v>
      </c>
    </row>
    <row r="47" spans="2:29" x14ac:dyDescent="0.25">
      <c r="B47" s="32" t="s">
        <v>4</v>
      </c>
      <c r="C47" t="s">
        <v>112</v>
      </c>
      <c r="D47" t="s">
        <v>113</v>
      </c>
      <c r="E47" t="s">
        <v>114</v>
      </c>
      <c r="F47" t="s">
        <v>115</v>
      </c>
      <c r="G47" t="s">
        <v>116</v>
      </c>
      <c r="H47" t="s">
        <v>117</v>
      </c>
      <c r="I47" t="s">
        <v>116</v>
      </c>
      <c r="J47" t="s">
        <v>117</v>
      </c>
      <c r="W47">
        <v>2023</v>
      </c>
      <c r="X47" s="17">
        <v>20727000</v>
      </c>
      <c r="Y47" s="17">
        <v>264178000</v>
      </c>
      <c r="Z47" s="17">
        <v>41914000</v>
      </c>
      <c r="AA47">
        <v>41914000</v>
      </c>
      <c r="AB47">
        <f t="shared" si="7"/>
        <v>41914000</v>
      </c>
      <c r="AC47" t="e">
        <f t="shared" si="8"/>
        <v>#N/A</v>
      </c>
    </row>
    <row r="48" spans="2:29" x14ac:dyDescent="0.25">
      <c r="B48" s="8">
        <v>2004</v>
      </c>
      <c r="C48" s="22">
        <v>13191608</v>
      </c>
      <c r="D48" s="22">
        <v>439706</v>
      </c>
      <c r="E48" s="22">
        <v>4000450</v>
      </c>
      <c r="F48" s="22">
        <v>3237711</v>
      </c>
      <c r="G48">
        <f t="shared" ref="G48:G68" si="9">$C48+$D48</f>
        <v>13631314</v>
      </c>
      <c r="H48">
        <f t="shared" ref="H48:H68" si="10">$E48+$F48</f>
        <v>7238161</v>
      </c>
      <c r="I48">
        <f>_xlfn.XLOOKUP(year,B47:B68,G47:G68)</f>
        <v>136959000</v>
      </c>
      <c r="J48">
        <f>_xlfn.XLOOKUP(year,B47:B68,H47:H68)</f>
        <v>135368000</v>
      </c>
      <c r="W48">
        <v>2024</v>
      </c>
      <c r="X48" s="17">
        <v>7953000</v>
      </c>
      <c r="Y48" s="17">
        <v>262742000</v>
      </c>
      <c r="Z48" s="17">
        <v>36634000</v>
      </c>
      <c r="AA48">
        <v>36634000</v>
      </c>
      <c r="AB48">
        <f t="shared" si="7"/>
        <v>36634000</v>
      </c>
      <c r="AC48" t="e">
        <f t="shared" si="8"/>
        <v>#N/A</v>
      </c>
    </row>
    <row r="49" spans="2:8" x14ac:dyDescent="0.25">
      <c r="B49" s="7">
        <v>2005</v>
      </c>
      <c r="C49" s="23">
        <v>16671837</v>
      </c>
      <c r="D49" s="23">
        <v>2641152</v>
      </c>
      <c r="E49" s="23">
        <v>8537469</v>
      </c>
      <c r="F49" s="23">
        <v>5553853</v>
      </c>
      <c r="G49">
        <f t="shared" si="9"/>
        <v>19312989</v>
      </c>
      <c r="H49">
        <f t="shared" si="10"/>
        <v>14091322</v>
      </c>
    </row>
    <row r="50" spans="2:8" x14ac:dyDescent="0.25">
      <c r="B50" s="8">
        <v>2006</v>
      </c>
      <c r="C50" s="22">
        <v>18850940</v>
      </c>
      <c r="D50" s="22">
        <v>2731623</v>
      </c>
      <c r="E50" s="22">
        <v>14878378</v>
      </c>
      <c r="F50" s="22">
        <v>8958143</v>
      </c>
      <c r="G50">
        <f t="shared" si="9"/>
        <v>21582563</v>
      </c>
      <c r="H50">
        <f t="shared" si="10"/>
        <v>23836521</v>
      </c>
    </row>
    <row r="51" spans="2:8" x14ac:dyDescent="0.25">
      <c r="B51" s="7">
        <v>2007</v>
      </c>
      <c r="C51" s="23">
        <v>19935335</v>
      </c>
      <c r="D51" s="23">
        <v>2637425</v>
      </c>
      <c r="E51" s="23">
        <v>12438663</v>
      </c>
      <c r="F51" s="23">
        <v>11091402</v>
      </c>
      <c r="G51">
        <f t="shared" si="9"/>
        <v>22572760</v>
      </c>
      <c r="H51">
        <f t="shared" si="10"/>
        <v>23530065</v>
      </c>
    </row>
    <row r="52" spans="2:8" x14ac:dyDescent="0.25">
      <c r="B52" s="8">
        <v>2008</v>
      </c>
      <c r="C52" s="22">
        <v>17813091</v>
      </c>
      <c r="D52" s="22">
        <v>2718556</v>
      </c>
      <c r="E52" s="22">
        <v>21809925</v>
      </c>
      <c r="F52" s="22">
        <v>4634178</v>
      </c>
      <c r="G52">
        <f t="shared" si="9"/>
        <v>20531647</v>
      </c>
      <c r="H52">
        <f t="shared" si="10"/>
        <v>26444103</v>
      </c>
    </row>
    <row r="53" spans="2:8" x14ac:dyDescent="0.25">
      <c r="B53" s="7">
        <v>2009</v>
      </c>
      <c r="C53" s="23">
        <v>19037903</v>
      </c>
      <c r="D53" s="23">
        <v>2669308</v>
      </c>
      <c r="E53" s="23">
        <v>14157516</v>
      </c>
      <c r="F53" s="23">
        <v>13223343</v>
      </c>
      <c r="G53">
        <f t="shared" si="9"/>
        <v>21707211</v>
      </c>
      <c r="H53">
        <f t="shared" si="10"/>
        <v>27380859</v>
      </c>
    </row>
    <row r="54" spans="2:8" x14ac:dyDescent="0.25">
      <c r="B54" s="8">
        <v>2010</v>
      </c>
      <c r="C54" s="22">
        <v>21627938</v>
      </c>
      <c r="D54" s="22">
        <v>2612015</v>
      </c>
      <c r="E54" s="22">
        <v>16241978</v>
      </c>
      <c r="F54" s="22">
        <v>10667861</v>
      </c>
      <c r="G54">
        <f t="shared" si="9"/>
        <v>24239953</v>
      </c>
      <c r="H54">
        <f t="shared" si="10"/>
        <v>26909839</v>
      </c>
    </row>
    <row r="55" spans="2:8" x14ac:dyDescent="0.25">
      <c r="B55" s="7">
        <v>2011</v>
      </c>
      <c r="C55" s="23">
        <v>24533773</v>
      </c>
      <c r="D55" s="23">
        <v>2264910</v>
      </c>
      <c r="E55" s="23">
        <v>19812793</v>
      </c>
      <c r="F55" s="23">
        <v>12120002</v>
      </c>
      <c r="G55">
        <f t="shared" si="9"/>
        <v>26798683</v>
      </c>
      <c r="H55">
        <f t="shared" si="10"/>
        <v>31932795</v>
      </c>
    </row>
    <row r="56" spans="2:8" x14ac:dyDescent="0.25">
      <c r="B56" s="8">
        <v>2012</v>
      </c>
      <c r="C56" s="22">
        <v>26479187</v>
      </c>
      <c r="D56" s="22">
        <v>1827646</v>
      </c>
      <c r="E56" s="22">
        <v>15127289</v>
      </c>
      <c r="F56" s="22">
        <v>9196658</v>
      </c>
      <c r="G56">
        <f t="shared" si="9"/>
        <v>28306833</v>
      </c>
      <c r="H56">
        <f t="shared" si="10"/>
        <v>24323947</v>
      </c>
    </row>
    <row r="57" spans="2:8" x14ac:dyDescent="0.25">
      <c r="B57" s="7">
        <v>2013</v>
      </c>
      <c r="C57" s="23">
        <v>25948000</v>
      </c>
      <c r="D57" s="23">
        <v>1603000</v>
      </c>
      <c r="E57" s="23">
        <v>15955000</v>
      </c>
      <c r="F57" s="23">
        <v>7846000</v>
      </c>
      <c r="G57">
        <f t="shared" si="9"/>
        <v>27551000</v>
      </c>
      <c r="H57">
        <f t="shared" si="10"/>
        <v>23801000</v>
      </c>
    </row>
    <row r="58" spans="2:8" x14ac:dyDescent="0.25">
      <c r="B58" s="8">
        <v>2014</v>
      </c>
      <c r="C58" s="22">
        <v>18771000</v>
      </c>
      <c r="D58" s="22">
        <v>1615000</v>
      </c>
      <c r="E58" s="22">
        <v>14034000</v>
      </c>
      <c r="F58" s="22">
        <v>12305000</v>
      </c>
      <c r="G58">
        <f t="shared" si="9"/>
        <v>20386000</v>
      </c>
      <c r="H58">
        <f t="shared" si="10"/>
        <v>26339000</v>
      </c>
    </row>
    <row r="59" spans="2:8" x14ac:dyDescent="0.25">
      <c r="B59" s="7">
        <v>2015</v>
      </c>
      <c r="C59" s="23">
        <v>22173000</v>
      </c>
      <c r="D59" s="23">
        <v>2071000</v>
      </c>
      <c r="E59" s="23">
        <v>13666000</v>
      </c>
      <c r="F59" s="23">
        <v>10227000</v>
      </c>
      <c r="G59">
        <f t="shared" si="9"/>
        <v>24244000</v>
      </c>
      <c r="H59">
        <f t="shared" si="10"/>
        <v>23893000</v>
      </c>
    </row>
    <row r="60" spans="2:8" x14ac:dyDescent="0.25">
      <c r="B60" s="8">
        <v>2016</v>
      </c>
      <c r="C60" s="22">
        <v>26764000</v>
      </c>
      <c r="D60" s="22">
        <v>2522000</v>
      </c>
      <c r="E60" s="22">
        <v>16621000</v>
      </c>
      <c r="F60" s="22">
        <v>9652000</v>
      </c>
      <c r="G60">
        <f t="shared" si="9"/>
        <v>29286000</v>
      </c>
      <c r="H60">
        <f t="shared" si="10"/>
        <v>26273000</v>
      </c>
    </row>
    <row r="61" spans="2:8" x14ac:dyDescent="0.25">
      <c r="B61" s="7">
        <v>2017</v>
      </c>
      <c r="C61" s="23">
        <v>32197000</v>
      </c>
      <c r="D61" s="23">
        <v>3014000</v>
      </c>
      <c r="E61" s="23">
        <v>16382000</v>
      </c>
      <c r="F61" s="23">
        <v>9071000</v>
      </c>
      <c r="G61">
        <f t="shared" si="9"/>
        <v>35211000</v>
      </c>
      <c r="H61">
        <f t="shared" si="10"/>
        <v>25453000</v>
      </c>
    </row>
    <row r="62" spans="2:8" x14ac:dyDescent="0.25">
      <c r="B62" s="8">
        <v>2018</v>
      </c>
      <c r="C62" s="22">
        <v>35634000</v>
      </c>
      <c r="D62" s="22">
        <v>12000</v>
      </c>
      <c r="E62" s="22">
        <v>16898000</v>
      </c>
      <c r="F62" s="22">
        <v>11487000</v>
      </c>
      <c r="G62">
        <f t="shared" si="9"/>
        <v>35646000</v>
      </c>
      <c r="H62">
        <f t="shared" si="10"/>
        <v>28385000</v>
      </c>
    </row>
    <row r="63" spans="2:8" x14ac:dyDescent="0.25">
      <c r="B63" s="7">
        <v>2019</v>
      </c>
      <c r="C63" s="23">
        <v>38596000</v>
      </c>
      <c r="D63" s="23">
        <v>11000</v>
      </c>
      <c r="E63" s="23">
        <v>18280000</v>
      </c>
      <c r="F63" s="23">
        <v>14315000</v>
      </c>
      <c r="G63">
        <f t="shared" si="9"/>
        <v>38607000</v>
      </c>
      <c r="H63">
        <f t="shared" si="10"/>
        <v>32595000</v>
      </c>
    </row>
    <row r="64" spans="2:8" x14ac:dyDescent="0.25">
      <c r="B64" s="8">
        <v>2020</v>
      </c>
      <c r="C64" s="22">
        <v>41596000</v>
      </c>
      <c r="D64" s="22">
        <v>783000</v>
      </c>
      <c r="E64" s="22">
        <v>22924000</v>
      </c>
      <c r="F64" s="22">
        <v>18524000</v>
      </c>
      <c r="G64">
        <f t="shared" si="9"/>
        <v>42379000</v>
      </c>
      <c r="H64">
        <f t="shared" si="10"/>
        <v>41448000</v>
      </c>
    </row>
    <row r="65" spans="2:12" x14ac:dyDescent="0.25">
      <c r="B65" s="7">
        <v>2021</v>
      </c>
      <c r="C65" s="23">
        <v>51707000</v>
      </c>
      <c r="D65" s="23">
        <v>871000</v>
      </c>
      <c r="E65" s="23">
        <v>30293000</v>
      </c>
      <c r="F65" s="23">
        <v>23883000</v>
      </c>
      <c r="G65">
        <f t="shared" si="9"/>
        <v>52578000</v>
      </c>
      <c r="H65">
        <f t="shared" si="10"/>
        <v>54176000</v>
      </c>
    </row>
    <row r="66" spans="2:12" x14ac:dyDescent="0.25">
      <c r="B66" s="8">
        <v>2022</v>
      </c>
      <c r="C66" s="22">
        <v>135948000</v>
      </c>
      <c r="D66" s="22">
        <v>1011000</v>
      </c>
      <c r="E66" s="22">
        <v>93837000</v>
      </c>
      <c r="F66" s="22">
        <v>41531000</v>
      </c>
      <c r="G66">
        <f t="shared" si="9"/>
        <v>136959000</v>
      </c>
      <c r="H66">
        <f t="shared" si="10"/>
        <v>135368000</v>
      </c>
    </row>
    <row r="67" spans="2:12" x14ac:dyDescent="0.25">
      <c r="B67" s="7">
        <v>2023</v>
      </c>
      <c r="C67" s="23">
        <v>152082000</v>
      </c>
      <c r="D67" s="23">
        <v>1098000</v>
      </c>
      <c r="E67" s="23">
        <v>69382000</v>
      </c>
      <c r="F67" s="23">
        <v>41616000</v>
      </c>
      <c r="G67">
        <f t="shared" si="9"/>
        <v>153180000</v>
      </c>
      <c r="H67">
        <f t="shared" si="10"/>
        <v>110998000</v>
      </c>
    </row>
    <row r="68" spans="2:12" x14ac:dyDescent="0.25">
      <c r="B68" s="8">
        <v>2024</v>
      </c>
      <c r="C68" s="22">
        <v>152214000</v>
      </c>
      <c r="D68" s="22">
        <v>1048000</v>
      </c>
      <c r="E68" s="22">
        <v>60272000</v>
      </c>
      <c r="F68" s="22">
        <v>49208000</v>
      </c>
      <c r="G68">
        <f t="shared" si="9"/>
        <v>153262000</v>
      </c>
      <c r="H68">
        <f t="shared" si="10"/>
        <v>109480000</v>
      </c>
    </row>
    <row r="72" spans="2:12" x14ac:dyDescent="0.25">
      <c r="B72" s="32" t="str" cm="1">
        <f t="array" ref="B72:B93">'[3]BR Bilans'!A1:A22</f>
        <v>Rok</v>
      </c>
      <c r="C72" t="s">
        <v>118</v>
      </c>
      <c r="D72" t="s">
        <v>33</v>
      </c>
      <c r="E72" t="s">
        <v>34</v>
      </c>
      <c r="F72" t="s">
        <v>37</v>
      </c>
      <c r="G72" t="s">
        <v>40</v>
      </c>
      <c r="H72" t="s">
        <v>118</v>
      </c>
      <c r="I72" t="s">
        <v>33</v>
      </c>
      <c r="J72" t="s">
        <v>34</v>
      </c>
      <c r="K72" t="s">
        <v>37</v>
      </c>
      <c r="L72" t="s">
        <v>40</v>
      </c>
    </row>
    <row r="73" spans="2:12" x14ac:dyDescent="0.25">
      <c r="B73" s="8">
        <v>2004</v>
      </c>
      <c r="C73" t="e" cm="1">
        <f t="array" ref="C73">[3]!RZiS_Orlen[Techniczny koszt wytworzenia produkcji sprzedanej]</f>
        <v>#REF!</v>
      </c>
      <c r="D73" t="e" cm="1">
        <f t="array" ref="D73">[3]!RZiS_Orlen[Koszty sprzedaży]</f>
        <v>#REF!</v>
      </c>
      <c r="E73" t="e" cm="1">
        <f t="array" ref="E73">[3]!RZiS_Orlen[Koszty ogólnego zarządu]</f>
        <v>#REF!</v>
      </c>
      <c r="F73" t="e" cm="1">
        <f t="array" ref="F73">[3]!RZiS_Orlen[Pozostałe koszty operacyjne]</f>
        <v>#REF!</v>
      </c>
      <c r="G73" t="e" cm="1">
        <f t="array" ref="G73">[3]!RZiS_Orlen[Koszty finansowe]</f>
        <v>#REF!</v>
      </c>
      <c r="H73" cm="1">
        <f t="array" ref="H73:L73">_xlfn.XLOOKUP(year,_xlfn.ANCHORARRAY(B72),C72:G93)</f>
        <v>0</v>
      </c>
      <c r="I73">
        <v>0</v>
      </c>
      <c r="J73">
        <v>0</v>
      </c>
      <c r="K73">
        <v>0</v>
      </c>
      <c r="L73">
        <v>0</v>
      </c>
    </row>
    <row r="74" spans="2:12" x14ac:dyDescent="0.25">
      <c r="B74" s="7">
        <v>2005</v>
      </c>
    </row>
    <row r="75" spans="2:12" x14ac:dyDescent="0.25">
      <c r="B75" s="8">
        <v>2006</v>
      </c>
    </row>
    <row r="76" spans="2:12" x14ac:dyDescent="0.25">
      <c r="B76" s="7">
        <v>2007</v>
      </c>
    </row>
    <row r="77" spans="2:12" x14ac:dyDescent="0.25">
      <c r="B77" s="8">
        <v>2008</v>
      </c>
    </row>
    <row r="78" spans="2:12" x14ac:dyDescent="0.25">
      <c r="B78" s="7">
        <v>2009</v>
      </c>
    </row>
    <row r="79" spans="2:12" x14ac:dyDescent="0.25">
      <c r="B79" s="8">
        <v>2010</v>
      </c>
    </row>
    <row r="80" spans="2:12" x14ac:dyDescent="0.25">
      <c r="B80" s="7">
        <v>2011</v>
      </c>
    </row>
    <row r="81" spans="2:2" x14ac:dyDescent="0.25">
      <c r="B81" s="8">
        <v>2012</v>
      </c>
    </row>
    <row r="82" spans="2:2" x14ac:dyDescent="0.25">
      <c r="B82" s="7">
        <v>2013</v>
      </c>
    </row>
    <row r="83" spans="2:2" x14ac:dyDescent="0.25">
      <c r="B83" s="8">
        <v>2014</v>
      </c>
    </row>
    <row r="84" spans="2:2" x14ac:dyDescent="0.25">
      <c r="B84" s="7">
        <v>2015</v>
      </c>
    </row>
    <row r="85" spans="2:2" x14ac:dyDescent="0.25">
      <c r="B85" s="8">
        <v>2016</v>
      </c>
    </row>
    <row r="86" spans="2:2" x14ac:dyDescent="0.25">
      <c r="B86" s="7">
        <v>2017</v>
      </c>
    </row>
    <row r="87" spans="2:2" x14ac:dyDescent="0.25">
      <c r="B87" s="8">
        <v>2018</v>
      </c>
    </row>
    <row r="88" spans="2:2" x14ac:dyDescent="0.25">
      <c r="B88" s="7">
        <v>2019</v>
      </c>
    </row>
    <row r="89" spans="2:2" x14ac:dyDescent="0.25">
      <c r="B89" s="8">
        <v>2020</v>
      </c>
    </row>
    <row r="90" spans="2:2" x14ac:dyDescent="0.25">
      <c r="B90" s="7">
        <v>2021</v>
      </c>
    </row>
    <row r="91" spans="2:2" x14ac:dyDescent="0.25">
      <c r="B91" s="8">
        <v>2022</v>
      </c>
    </row>
    <row r="92" spans="2:2" x14ac:dyDescent="0.25">
      <c r="B92" s="7">
        <v>2023</v>
      </c>
    </row>
    <row r="93" spans="2:2" x14ac:dyDescent="0.25">
      <c r="B93" s="8">
        <v>2024</v>
      </c>
    </row>
  </sheetData>
  <mergeCells count="5">
    <mergeCell ref="C1:F1"/>
    <mergeCell ref="G1:I1"/>
    <mergeCell ref="J1:M1"/>
    <mergeCell ref="N1:P1"/>
    <mergeCell ref="I25:I45"/>
  </mergeCells>
  <phoneticPr fontId="5" type="noConversion"/>
  <conditionalFormatting sqref="AL5">
    <cfRule type="colorScale" priority="2">
      <colorScale>
        <cfvo type="formula" val="$AL$5=&quot;W granicach normy&quot;"/>
        <cfvo type="formula" val="$AL$5=&quot;Znaczna zmiana&quot;"/>
        <color theme="6" tint="-0.249977111117893"/>
        <color rgb="FFEE0000"/>
      </colorScale>
    </cfRule>
  </conditionalFormatting>
  <conditionalFormatting sqref="AI12">
    <cfRule type="cellIs" dxfId="16" priority="1" operator="greaterThan">
      <formula>0.5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ECCE50-0396-491E-8681-56B88726BF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Wskaźniki roczne</vt:lpstr>
      <vt:lpstr>BR Rpp_Orlen</vt:lpstr>
      <vt:lpstr>BR RZiS</vt:lpstr>
      <vt:lpstr>BR Bilans</vt:lpstr>
      <vt:lpstr>Orlen dashboard</vt:lpstr>
      <vt:lpstr>Data Validation</vt:lpstr>
      <vt:lpstr>aktywa_razem</vt:lpstr>
      <vt:lpstr>ocena_aktywów</vt:lpstr>
      <vt:lpstr>ocena_przepływów</vt:lpstr>
      <vt:lpstr>ocena_zysku</vt:lpstr>
      <vt:lpstr>porownaj_wykres</vt:lpstr>
      <vt:lpstr>porownajwykres</vt:lpstr>
      <vt:lpstr>pp_oper</vt:lpstr>
      <vt:lpstr>procenta</vt:lpstr>
      <vt:lpstr>procentpp</vt:lpstr>
      <vt:lpstr>procentz</vt:lpstr>
      <vt:lpstr>rok</vt:lpstr>
      <vt:lpstr>wybierz_wykres</vt:lpstr>
      <vt:lpstr>wykresy</vt:lpstr>
      <vt:lpstr>wykresy_p</vt:lpstr>
      <vt:lpstr>wykresyp</vt:lpstr>
      <vt:lpstr>year</vt:lpstr>
      <vt:lpstr>zysk_netto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Kot WW</dc:creator>
  <cp:keywords/>
  <dc:description/>
  <cp:lastModifiedBy>Kot WW</cp:lastModifiedBy>
  <cp:revision/>
  <dcterms:created xsi:type="dcterms:W3CDTF">2025-02-22T08:47:04Z</dcterms:created>
  <dcterms:modified xsi:type="dcterms:W3CDTF">2025-03-09T18:01:45Z</dcterms:modified>
  <cp:category/>
  <cp:contentStatus/>
</cp:coreProperties>
</file>